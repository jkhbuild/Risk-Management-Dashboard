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" sheetId="1" state="visible" r:id="rId3"/>
    <sheet name="Risk_Register" sheetId="2" state="visible" r:id="rId4"/>
    <sheet name="Looku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<sst xmlns="http://schemas.openxmlformats.org/spreadsheetml/2006/main" count="305" uniqueCount="150">
  <si>
    <t xml:space="preserve">project_id</t>
  </si>
  <si>
    <t xml:space="preserve">project_name</t>
  </si>
  <si>
    <t xml:space="preserve">contract_number</t>
  </si>
  <si>
    <t xml:space="preserve">design_builder</t>
  </si>
  <si>
    <t xml:space="preserve">pmc</t>
  </si>
  <si>
    <t xml:space="preserve">pceo</t>
  </si>
  <si>
    <t xml:space="preserve">budget</t>
  </si>
  <si>
    <t xml:space="preserve">jtd</t>
  </si>
  <si>
    <t xml:space="preserve">ntp_date</t>
  </si>
  <si>
    <t xml:space="preserve">project_duration_days</t>
  </si>
  <si>
    <t xml:space="preserve">substantial_completion</t>
  </si>
  <si>
    <t xml:space="preserve">edition_date</t>
  </si>
  <si>
    <t xml:space="preserve">TONN-01</t>
  </si>
  <si>
    <t xml:space="preserve">Tonnelle Avenue Bridge Relocation</t>
  </si>
  <si>
    <t xml:space="preserve">HOW TO USE THIS TEMPLATE</t>
  </si>
  <si>
    <t xml:space="preserve">Tab 1 Project: fill the blue cells with contract metadata.</t>
  </si>
  <si>
    <t xml:space="preserve">Tab 2 Risk_Register: fill blue columns. probability/cost/schedule are 1-5 (cost &amp; schedule allow 0).</t>
  </si>
  <si>
    <t xml:space="preserve">The 4 score columns (cost, schedule, overall, level) are formulas - do not type in them.</t>
  </si>
  <si>
    <t xml:space="preserve">mitigation_log: write your dated update notes here (e.g. "1/13 - did X. 1/27 - did Y.").</t>
  </si>
  <si>
    <t xml:space="preserve">   The next chat will split this column into a separate Risk_Updates table.</t>
  </si>
  <si>
    <t xml:space="preserve">Tab 3 Lookups: rating-scale reference + dropdown source. Do not edit unless scales change.</t>
  </si>
  <si>
    <t xml:space="preserve">Add or delete Risk_Register rows freely - 30 is a starting point, ~25-40 is a good range.</t>
  </si>
  <si>
    <t xml:space="preserve">risk_id</t>
  </si>
  <si>
    <t xml:space="preserve">source_ref</t>
  </si>
  <si>
    <t xml:space="preserve">status</t>
  </si>
  <si>
    <t xml:space="preserve">risk_category</t>
  </si>
  <si>
    <t xml:space="preserve">risk_title</t>
  </si>
  <si>
    <t xml:space="preserve">risk_type</t>
  </si>
  <si>
    <t xml:space="preserve">probability_score</t>
  </si>
  <si>
    <t xml:space="preserve">cost_impact_score</t>
  </si>
  <si>
    <t xml:space="preserve">schedule_impact_score</t>
  </si>
  <si>
    <t xml:space="preserve">risk_score_cost</t>
  </si>
  <si>
    <t xml:space="preserve">risk_score_schedule</t>
  </si>
  <si>
    <t xml:space="preserve">risk_score_overall</t>
  </si>
  <si>
    <t xml:space="preserve">risk_level</t>
  </si>
  <si>
    <t xml:space="preserve">risk_entity</t>
  </si>
  <si>
    <t xml:space="preserve">risk_coordinator</t>
  </si>
  <si>
    <t xml:space="preserve">mitigation_status</t>
  </si>
  <si>
    <t xml:space="preserve">next_review_date</t>
  </si>
  <si>
    <t xml:space="preserve">mitigation_log</t>
  </si>
  <si>
    <t xml:space="preserve">TONN-CON.01</t>
  </si>
  <si>
    <t xml:space="preserve">CON.01</t>
  </si>
  <si>
    <t xml:space="preserve">Open</t>
  </si>
  <si>
    <t xml:space="preserve">Threat</t>
  </si>
  <si>
    <t xml:space="preserve">TONN-CON.02</t>
  </si>
  <si>
    <t xml:space="preserve">CON.02</t>
  </si>
  <si>
    <t xml:space="preserve">TONN-CON.03</t>
  </si>
  <si>
    <t xml:space="preserve">CON.03</t>
  </si>
  <si>
    <t xml:space="preserve">TONN-CON.04</t>
  </si>
  <si>
    <t xml:space="preserve">CON.04</t>
  </si>
  <si>
    <t xml:space="preserve">TONN-CON.05</t>
  </si>
  <si>
    <t xml:space="preserve">CON.05</t>
  </si>
  <si>
    <t xml:space="preserve">TONN-CON.06</t>
  </si>
  <si>
    <t xml:space="preserve">CON.06</t>
  </si>
  <si>
    <t xml:space="preserve">TONN-CON.07</t>
  </si>
  <si>
    <t xml:space="preserve">CON.07</t>
  </si>
  <si>
    <t xml:space="preserve">TONN-CON.08</t>
  </si>
  <si>
    <t xml:space="preserve">CON.08</t>
  </si>
  <si>
    <t xml:space="preserve">TONN-CON.09</t>
  </si>
  <si>
    <t xml:space="preserve">CON.09</t>
  </si>
  <si>
    <t xml:space="preserve">TONN-CON.10</t>
  </si>
  <si>
    <t xml:space="preserve">CON.10</t>
  </si>
  <si>
    <t xml:space="preserve">TONN-CON.11</t>
  </si>
  <si>
    <t xml:space="preserve">CON.11</t>
  </si>
  <si>
    <t xml:space="preserve">TONN-CON.12</t>
  </si>
  <si>
    <t xml:space="preserve">CON.12</t>
  </si>
  <si>
    <t xml:space="preserve">TONN-CON.13</t>
  </si>
  <si>
    <t xml:space="preserve">CON.13</t>
  </si>
  <si>
    <t xml:space="preserve">TONN-CON.14</t>
  </si>
  <si>
    <t xml:space="preserve">CON.14</t>
  </si>
  <si>
    <t xml:space="preserve">TONN-CON.15</t>
  </si>
  <si>
    <t xml:space="preserve">CON.15</t>
  </si>
  <si>
    <t xml:space="preserve">TONN-CON.16</t>
  </si>
  <si>
    <t xml:space="preserve">CON.16</t>
  </si>
  <si>
    <t xml:space="preserve">TONN-CON.17</t>
  </si>
  <si>
    <t xml:space="preserve">CON.17</t>
  </si>
  <si>
    <t xml:space="preserve">TONN-CON.18</t>
  </si>
  <si>
    <t xml:space="preserve">CON.18</t>
  </si>
  <si>
    <t xml:space="preserve">TONN-CON.19</t>
  </si>
  <si>
    <t xml:space="preserve">CON.19</t>
  </si>
  <si>
    <t xml:space="preserve">TONN-CON.20</t>
  </si>
  <si>
    <t xml:space="preserve">CON.20</t>
  </si>
  <si>
    <t xml:space="preserve">TONN-CON.21</t>
  </si>
  <si>
    <t xml:space="preserve">CON.21</t>
  </si>
  <si>
    <t xml:space="preserve">TONN-CON.22</t>
  </si>
  <si>
    <t xml:space="preserve">CON.22</t>
  </si>
  <si>
    <t xml:space="preserve">TONN-CON.23</t>
  </si>
  <si>
    <t xml:space="preserve">CON.23</t>
  </si>
  <si>
    <t xml:space="preserve">TONN-CON.24</t>
  </si>
  <si>
    <t xml:space="preserve">CON.24</t>
  </si>
  <si>
    <t xml:space="preserve">TONN-CON.25</t>
  </si>
  <si>
    <t xml:space="preserve">CON.25</t>
  </si>
  <si>
    <t xml:space="preserve">TONN-CON.26</t>
  </si>
  <si>
    <t xml:space="preserve">CON.26</t>
  </si>
  <si>
    <t xml:space="preserve">TONN-CON.27</t>
  </si>
  <si>
    <t xml:space="preserve">CON.27</t>
  </si>
  <si>
    <t xml:space="preserve">TONN-CON.28</t>
  </si>
  <si>
    <t xml:space="preserve">CON.28</t>
  </si>
  <si>
    <t xml:space="preserve">TONN-CON.29</t>
  </si>
  <si>
    <t xml:space="preserve">CON.29</t>
  </si>
  <si>
    <t xml:space="preserve">TONN-CON.30</t>
  </si>
  <si>
    <t xml:space="preserve">CON.30</t>
  </si>
  <si>
    <t xml:space="preserve">scale_type</t>
  </si>
  <si>
    <t xml:space="preserve">score</t>
  </si>
  <si>
    <t xml:space="preserve">label</t>
  </si>
  <si>
    <t xml:space="preserve">range_description</t>
  </si>
  <si>
    <t xml:space="preserve">category_list</t>
  </si>
  <si>
    <t xml:space="preserve">entity_list</t>
  </si>
  <si>
    <t xml:space="preserve">status_list</t>
  </si>
  <si>
    <t xml:space="preserve">Probability</t>
  </si>
  <si>
    <t xml:space="preserve">Very Low</t>
  </si>
  <si>
    <t xml:space="preserve">&lt; 15%</t>
  </si>
  <si>
    <t xml:space="preserve">Construction</t>
  </si>
  <si>
    <t xml:space="preserve">GDC</t>
  </si>
  <si>
    <t xml:space="preserve">Low</t>
  </si>
  <si>
    <t xml:space="preserve">16% - 40%</t>
  </si>
  <si>
    <t xml:space="preserve">Field Condition</t>
  </si>
  <si>
    <t xml:space="preserve">CM</t>
  </si>
  <si>
    <t xml:space="preserve">Closed</t>
  </si>
  <si>
    <t xml:space="preserve">Medium</t>
  </si>
  <si>
    <t xml:space="preserve">41% - 60%</t>
  </si>
  <si>
    <t xml:space="preserve">Design Change</t>
  </si>
  <si>
    <t xml:space="preserve">Contractor</t>
  </si>
  <si>
    <t xml:space="preserve">Monitoring</t>
  </si>
  <si>
    <t xml:space="preserve">High</t>
  </si>
  <si>
    <t xml:space="preserve">61% - 85%</t>
  </si>
  <si>
    <t xml:space="preserve">Safety</t>
  </si>
  <si>
    <t xml:space="preserve">Shared</t>
  </si>
  <si>
    <t xml:space="preserve">Realized</t>
  </si>
  <si>
    <t xml:space="preserve">Very High</t>
  </si>
  <si>
    <t xml:space="preserve">&gt; 85%</t>
  </si>
  <si>
    <t xml:space="preserve">Environmental</t>
  </si>
  <si>
    <t xml:space="preserve">Cost Impact</t>
  </si>
  <si>
    <t xml:space="preserve">Negligible</t>
  </si>
  <si>
    <t xml:space="preserve">Political</t>
  </si>
  <si>
    <t xml:space="preserve">&lt; $250K</t>
  </si>
  <si>
    <t xml:space="preserve">$250K - $500K</t>
  </si>
  <si>
    <t xml:space="preserve">$500K - $1M</t>
  </si>
  <si>
    <t xml:space="preserve">$1M - $2M</t>
  </si>
  <si>
    <t xml:space="preserve">&gt; $2M</t>
  </si>
  <si>
    <t xml:space="preserve">Schedule Impact</t>
  </si>
  <si>
    <t xml:space="preserve">&lt; 1 week</t>
  </si>
  <si>
    <t xml:space="preserve">1-2 weeks</t>
  </si>
  <si>
    <t xml:space="preserve">2-4 weeks</t>
  </si>
  <si>
    <t xml:space="preserve">1-2 months</t>
  </si>
  <si>
    <t xml:space="preserve">&gt; 2 months</t>
  </si>
  <si>
    <t xml:space="preserve">Risk Level</t>
  </si>
  <si>
    <t xml:space="preserve">Score 15-25</t>
  </si>
  <si>
    <t xml:space="preserve">Score 8-14</t>
  </si>
  <si>
    <t xml:space="preserve">Score 1-7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</si>
</sst>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yyyy\-mm\-dd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5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13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/>
      <c r="D2" s="3"/>
      <c r="E2" s="3"/>
      <c r="F2" s="3"/>
      <c r="G2" s="4"/>
      <c r="H2" s="4"/>
      <c r="I2" s="5"/>
      <c r="J2" s="3"/>
      <c r="K2" s="5"/>
      <c r="L2" s="5"/>
    </row>
    <row r="5" customFormat="false" ht="15" hidden="false" customHeight="true" outlineLevel="0" collapsed="false">
      <c r="A5" s="6" t="s">
        <v>14</v>
      </c>
    </row>
    <row r="6" customFormat="false" ht="15" hidden="false" customHeight="true" outlineLevel="0" collapsed="false">
      <c r="A6" s="7" t="s">
        <v>15</v>
      </c>
    </row>
    <row r="7" customFormat="false" ht="15" hidden="false" customHeight="true" outlineLevel="0" collapsed="false">
      <c r="A7" s="7" t="s">
        <v>16</v>
      </c>
    </row>
    <row r="8" customFormat="false" ht="15" hidden="false" customHeight="true" outlineLevel="0" collapsed="false">
      <c r="A8" s="7" t="s">
        <v>17</v>
      </c>
    </row>
    <row r="9" customFormat="false" ht="15" hidden="false" customHeight="true" outlineLevel="0" collapsed="false">
      <c r="A9" s="7" t="s">
        <v>18</v>
      </c>
    </row>
    <row r="10" customFormat="false" ht="15" hidden="false" customHeight="true" outlineLevel="0" collapsed="false">
      <c r="A10" s="7" t="s">
        <v>19</v>
      </c>
    </row>
    <row r="11" customFormat="false" ht="15" hidden="false" customHeight="true" outlineLevel="0" collapsed="false">
      <c r="A11" s="7" t="s">
        <v>20</v>
      </c>
    </row>
    <row r="12" customFormat="false" ht="15" hidden="false" customHeight="true" outlineLevel="0" collapsed="false">
      <c r="A12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4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3" min="12" style="1" width="13"/>
    <col collapsed="false" customWidth="true" hidden="false" outlineLevel="0" max="14" min="14" style="1" width="10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8" min="17" style="1" width="14"/>
    <col collapsed="false" customWidth="true" hidden="false" outlineLevel="0" max="19" min="19" style="1" width="60"/>
  </cols>
  <sheetData>
    <row r="1" customFormat="false" ht="31.5" hidden="false" customHeight="true" outlineLevel="0" collapsed="false">
      <c r="A1" s="2" t="s">
        <v>22</v>
      </c>
      <c r="B1" s="2" t="s">
        <v>0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customFormat="false" ht="15" hidden="false" customHeight="true" outlineLevel="0" collapsed="false">
      <c r="A2" s="3" t="s">
        <v>40</v>
      </c>
      <c r="B2" s="3" t="s">
        <v>12</v>
      </c>
      <c r="C2" s="3" t="s">
        <v>41</v>
      </c>
      <c r="D2" s="3" t="s">
        <v>42</v>
      </c>
      <c r="E2" s="3"/>
      <c r="F2" s="3"/>
      <c r="G2" s="3" t="s">
        <v>43</v>
      </c>
      <c r="H2" s="3"/>
      <c r="I2" s="3"/>
      <c r="J2" s="3"/>
      <c r="K2" s="8" t="n">
        <f aca="false">H2*I2</f>
        <v>0</v>
      </c>
      <c r="L2" s="8" t="n">
        <f aca="false">H2*J2</f>
        <v>0</v>
      </c>
      <c r="M2" s="8" t="n">
        <f aca="false">H2*MAX(I2,J2)</f>
        <v>0</v>
      </c>
      <c r="N2" s="8" t="str">
        <f aca="false">IF(M2&gt;=15,"High",IF(M2&gt;=8,"Medium","Low"))</f>
        <v>Low</v>
      </c>
      <c r="O2" s="3"/>
      <c r="P2" s="3"/>
      <c r="Q2" s="3" t="s">
        <v>42</v>
      </c>
      <c r="R2" s="5"/>
      <c r="S2" s="3"/>
    </row>
    <row r="3" customFormat="false" ht="15" hidden="false" customHeight="true" outlineLevel="0" collapsed="false">
      <c r="A3" s="3" t="s">
        <v>44</v>
      </c>
      <c r="B3" s="3" t="s">
        <v>12</v>
      </c>
      <c r="C3" s="3" t="s">
        <v>45</v>
      </c>
      <c r="D3" s="3" t="s">
        <v>42</v>
      </c>
      <c r="E3" s="3"/>
      <c r="F3" s="3"/>
      <c r="G3" s="3" t="s">
        <v>43</v>
      </c>
      <c r="H3" s="3"/>
      <c r="I3" s="3"/>
      <c r="J3" s="3"/>
      <c r="K3" s="8" t="n">
        <f aca="false">H3*I3</f>
        <v>0</v>
      </c>
      <c r="L3" s="8" t="n">
        <f aca="false">H3*J3</f>
        <v>0</v>
      </c>
      <c r="M3" s="8" t="n">
        <f aca="false">H3*MAX(I3,J3)</f>
        <v>0</v>
      </c>
      <c r="N3" s="8" t="str">
        <f aca="false">IF(M3&gt;=15,"High",IF(M3&gt;=8,"Medium","Low"))</f>
        <v>Low</v>
      </c>
      <c r="O3" s="3"/>
      <c r="P3" s="3"/>
      <c r="Q3" s="3" t="s">
        <v>42</v>
      </c>
      <c r="R3" s="5"/>
      <c r="S3" s="3"/>
    </row>
    <row r="4" customFormat="false" ht="15" hidden="false" customHeight="true" outlineLevel="0" collapsed="false">
      <c r="A4" s="3" t="s">
        <v>46</v>
      </c>
      <c r="B4" s="3" t="s">
        <v>12</v>
      </c>
      <c r="C4" s="3" t="s">
        <v>47</v>
      </c>
      <c r="D4" s="3" t="s">
        <v>42</v>
      </c>
      <c r="E4" s="3"/>
      <c r="F4" s="3"/>
      <c r="G4" s="3" t="s">
        <v>43</v>
      </c>
      <c r="H4" s="3"/>
      <c r="I4" s="3"/>
      <c r="J4" s="3"/>
      <c r="K4" s="8" t="n">
        <f aca="false">H4*I4</f>
        <v>0</v>
      </c>
      <c r="L4" s="8" t="n">
        <f aca="false">H4*J4</f>
        <v>0</v>
      </c>
      <c r="M4" s="8" t="n">
        <f aca="false">H4*MAX(I4,J4)</f>
        <v>0</v>
      </c>
      <c r="N4" s="8" t="str">
        <f aca="false">IF(M4&gt;=15,"High",IF(M4&gt;=8,"Medium","Low"))</f>
        <v>Low</v>
      </c>
      <c r="O4" s="3"/>
      <c r="P4" s="3"/>
      <c r="Q4" s="3" t="s">
        <v>42</v>
      </c>
      <c r="R4" s="5"/>
      <c r="S4" s="3"/>
    </row>
    <row r="5" customFormat="false" ht="15" hidden="false" customHeight="true" outlineLevel="0" collapsed="false">
      <c r="A5" s="3" t="s">
        <v>48</v>
      </c>
      <c r="B5" s="3" t="s">
        <v>12</v>
      </c>
      <c r="C5" s="3" t="s">
        <v>49</v>
      </c>
      <c r="D5" s="3" t="s">
        <v>42</v>
      </c>
      <c r="E5" s="3"/>
      <c r="F5" s="3"/>
      <c r="G5" s="3" t="s">
        <v>43</v>
      </c>
      <c r="H5" s="3"/>
      <c r="I5" s="3"/>
      <c r="J5" s="3"/>
      <c r="K5" s="8" t="n">
        <f aca="false">H5*I5</f>
        <v>0</v>
      </c>
      <c r="L5" s="8" t="n">
        <f aca="false">H5*J5</f>
        <v>0</v>
      </c>
      <c r="M5" s="8" t="n">
        <f aca="false">H5*MAX(I5,J5)</f>
        <v>0</v>
      </c>
      <c r="N5" s="8" t="str">
        <f aca="false">IF(M5&gt;=15,"High",IF(M5&gt;=8,"Medium","Low"))</f>
        <v>Low</v>
      </c>
      <c r="O5" s="3"/>
      <c r="P5" s="3"/>
      <c r="Q5" s="3" t="s">
        <v>42</v>
      </c>
      <c r="R5" s="5"/>
      <c r="S5" s="3"/>
    </row>
    <row r="6" customFormat="false" ht="15" hidden="false" customHeight="true" outlineLevel="0" collapsed="false">
      <c r="A6" s="3" t="s">
        <v>50</v>
      </c>
      <c r="B6" s="3" t="s">
        <v>12</v>
      </c>
      <c r="C6" s="3" t="s">
        <v>51</v>
      </c>
      <c r="D6" s="3" t="s">
        <v>42</v>
      </c>
      <c r="E6" s="3"/>
      <c r="F6" s="3"/>
      <c r="G6" s="3" t="s">
        <v>43</v>
      </c>
      <c r="H6" s="3"/>
      <c r="I6" s="3"/>
      <c r="J6" s="3"/>
      <c r="K6" s="8" t="n">
        <f aca="false">H6*I6</f>
        <v>0</v>
      </c>
      <c r="L6" s="8" t="n">
        <f aca="false">H6*J6</f>
        <v>0</v>
      </c>
      <c r="M6" s="8" t="n">
        <f aca="false">H6*MAX(I6,J6)</f>
        <v>0</v>
      </c>
      <c r="N6" s="8" t="str">
        <f aca="false">IF(M6&gt;=15,"High",IF(M6&gt;=8,"Medium","Low"))</f>
        <v>Low</v>
      </c>
      <c r="O6" s="3"/>
      <c r="P6" s="3"/>
      <c r="Q6" s="3" t="s">
        <v>42</v>
      </c>
      <c r="R6" s="5"/>
      <c r="S6" s="3"/>
    </row>
    <row r="7" customFormat="false" ht="15" hidden="false" customHeight="true" outlineLevel="0" collapsed="false">
      <c r="A7" s="3" t="s">
        <v>52</v>
      </c>
      <c r="B7" s="3" t="s">
        <v>12</v>
      </c>
      <c r="C7" s="3" t="s">
        <v>53</v>
      </c>
      <c r="D7" s="3" t="s">
        <v>42</v>
      </c>
      <c r="E7" s="3"/>
      <c r="F7" s="3"/>
      <c r="G7" s="3" t="s">
        <v>43</v>
      </c>
      <c r="H7" s="3"/>
      <c r="I7" s="3"/>
      <c r="J7" s="3"/>
      <c r="K7" s="8" t="n">
        <f aca="false">H7*I7</f>
        <v>0</v>
      </c>
      <c r="L7" s="8" t="n">
        <f aca="false">H7*J7</f>
        <v>0</v>
      </c>
      <c r="M7" s="8" t="n">
        <f aca="false">H7*MAX(I7,J7)</f>
        <v>0</v>
      </c>
      <c r="N7" s="8" t="str">
        <f aca="false">IF(M7&gt;=15,"High",IF(M7&gt;=8,"Medium","Low"))</f>
        <v>Low</v>
      </c>
      <c r="O7" s="3"/>
      <c r="P7" s="3"/>
      <c r="Q7" s="3" t="s">
        <v>42</v>
      </c>
      <c r="R7" s="5"/>
      <c r="S7" s="3"/>
    </row>
    <row r="8" customFormat="false" ht="15" hidden="false" customHeight="true" outlineLevel="0" collapsed="false">
      <c r="A8" s="3" t="s">
        <v>54</v>
      </c>
      <c r="B8" s="3" t="s">
        <v>12</v>
      </c>
      <c r="C8" s="3" t="s">
        <v>55</v>
      </c>
      <c r="D8" s="3" t="s">
        <v>42</v>
      </c>
      <c r="E8" s="3"/>
      <c r="F8" s="3"/>
      <c r="G8" s="3" t="s">
        <v>43</v>
      </c>
      <c r="H8" s="3"/>
      <c r="I8" s="3"/>
      <c r="J8" s="3"/>
      <c r="K8" s="8" t="n">
        <f aca="false">H8*I8</f>
        <v>0</v>
      </c>
      <c r="L8" s="8" t="n">
        <f aca="false">H8*J8</f>
        <v>0</v>
      </c>
      <c r="M8" s="8" t="n">
        <f aca="false">H8*MAX(I8,J8)</f>
        <v>0</v>
      </c>
      <c r="N8" s="8" t="str">
        <f aca="false">IF(M8&gt;=15,"High",IF(M8&gt;=8,"Medium","Low"))</f>
        <v>Low</v>
      </c>
      <c r="O8" s="3"/>
      <c r="P8" s="3"/>
      <c r="Q8" s="3" t="s">
        <v>42</v>
      </c>
      <c r="R8" s="5"/>
      <c r="S8" s="3"/>
    </row>
    <row r="9" customFormat="false" ht="15" hidden="false" customHeight="true" outlineLevel="0" collapsed="false">
      <c r="A9" s="3" t="s">
        <v>56</v>
      </c>
      <c r="B9" s="3" t="s">
        <v>12</v>
      </c>
      <c r="C9" s="3" t="s">
        <v>57</v>
      </c>
      <c r="D9" s="3" t="s">
        <v>42</v>
      </c>
      <c r="E9" s="3"/>
      <c r="F9" s="3"/>
      <c r="G9" s="3" t="s">
        <v>43</v>
      </c>
      <c r="H9" s="3"/>
      <c r="I9" s="3"/>
      <c r="J9" s="3"/>
      <c r="K9" s="8" t="n">
        <f aca="false">H9*I9</f>
        <v>0</v>
      </c>
      <c r="L9" s="8" t="n">
        <f aca="false">H9*J9</f>
        <v>0</v>
      </c>
      <c r="M9" s="8" t="n">
        <f aca="false">H9*MAX(I9,J9)</f>
        <v>0</v>
      </c>
      <c r="N9" s="8" t="str">
        <f aca="false">IF(M9&gt;=15,"High",IF(M9&gt;=8,"Medium","Low"))</f>
        <v>Low</v>
      </c>
      <c r="O9" s="3"/>
      <c r="P9" s="3"/>
      <c r="Q9" s="3" t="s">
        <v>42</v>
      </c>
      <c r="R9" s="5"/>
      <c r="S9" s="3"/>
    </row>
    <row r="10" customFormat="false" ht="15" hidden="false" customHeight="true" outlineLevel="0" collapsed="false">
      <c r="A10" s="3" t="s">
        <v>58</v>
      </c>
      <c r="B10" s="3" t="s">
        <v>12</v>
      </c>
      <c r="C10" s="3" t="s">
        <v>59</v>
      </c>
      <c r="D10" s="3" t="s">
        <v>42</v>
      </c>
      <c r="E10" s="3"/>
      <c r="F10" s="3"/>
      <c r="G10" s="3" t="s">
        <v>43</v>
      </c>
      <c r="H10" s="3"/>
      <c r="I10" s="3"/>
      <c r="J10" s="3"/>
      <c r="K10" s="8" t="n">
        <f aca="false">H10*I10</f>
        <v>0</v>
      </c>
      <c r="L10" s="8" t="n">
        <f aca="false">H10*J10</f>
        <v>0</v>
      </c>
      <c r="M10" s="8" t="n">
        <f aca="false">H10*MAX(I10,J10)</f>
        <v>0</v>
      </c>
      <c r="N10" s="8" t="str">
        <f aca="false">IF(M10&gt;=15,"High",IF(M10&gt;=8,"Medium","Low"))</f>
        <v>Low</v>
      </c>
      <c r="O10" s="3"/>
      <c r="P10" s="3"/>
      <c r="Q10" s="3" t="s">
        <v>42</v>
      </c>
      <c r="R10" s="5"/>
      <c r="S10" s="3"/>
    </row>
    <row r="11" customFormat="false" ht="15" hidden="false" customHeight="true" outlineLevel="0" collapsed="false">
      <c r="A11" s="3" t="s">
        <v>60</v>
      </c>
      <c r="B11" s="3" t="s">
        <v>12</v>
      </c>
      <c r="C11" s="3" t="s">
        <v>61</v>
      </c>
      <c r="D11" s="3" t="s">
        <v>42</v>
      </c>
      <c r="E11" s="3"/>
      <c r="F11" s="3"/>
      <c r="G11" s="3" t="s">
        <v>43</v>
      </c>
      <c r="H11" s="3"/>
      <c r="I11" s="3"/>
      <c r="J11" s="3"/>
      <c r="K11" s="8" t="n">
        <f aca="false">H11*I11</f>
        <v>0</v>
      </c>
      <c r="L11" s="8" t="n">
        <f aca="false">H11*J11</f>
        <v>0</v>
      </c>
      <c r="M11" s="8" t="n">
        <f aca="false">H11*MAX(I11,J11)</f>
        <v>0</v>
      </c>
      <c r="N11" s="8" t="str">
        <f aca="false">IF(M11&gt;=15,"High",IF(M11&gt;=8,"Medium","Low"))</f>
        <v>Low</v>
      </c>
      <c r="O11" s="3"/>
      <c r="P11" s="3"/>
      <c r="Q11" s="3" t="s">
        <v>42</v>
      </c>
      <c r="R11" s="5"/>
      <c r="S11" s="3"/>
    </row>
    <row r="12" customFormat="false" ht="15" hidden="false" customHeight="true" outlineLevel="0" collapsed="false">
      <c r="A12" s="3" t="s">
        <v>62</v>
      </c>
      <c r="B12" s="3" t="s">
        <v>12</v>
      </c>
      <c r="C12" s="3" t="s">
        <v>63</v>
      </c>
      <c r="D12" s="3" t="s">
        <v>42</v>
      </c>
      <c r="E12" s="3"/>
      <c r="F12" s="3"/>
      <c r="G12" s="3" t="s">
        <v>43</v>
      </c>
      <c r="H12" s="3"/>
      <c r="I12" s="3"/>
      <c r="J12" s="3"/>
      <c r="K12" s="8" t="n">
        <f aca="false">H12*I12</f>
        <v>0</v>
      </c>
      <c r="L12" s="8" t="n">
        <f aca="false">H12*J12</f>
        <v>0</v>
      </c>
      <c r="M12" s="8" t="n">
        <f aca="false">H12*MAX(I12,J12)</f>
        <v>0</v>
      </c>
      <c r="N12" s="8" t="str">
        <f aca="false">IF(M12&gt;=15,"High",IF(M12&gt;=8,"Medium","Low"))</f>
        <v>Low</v>
      </c>
      <c r="O12" s="3"/>
      <c r="P12" s="3"/>
      <c r="Q12" s="3" t="s">
        <v>42</v>
      </c>
      <c r="R12" s="5"/>
      <c r="S12" s="3"/>
    </row>
    <row r="13" customFormat="false" ht="15" hidden="false" customHeight="true" outlineLevel="0" collapsed="false">
      <c r="A13" s="3" t="s">
        <v>64</v>
      </c>
      <c r="B13" s="3" t="s">
        <v>12</v>
      </c>
      <c r="C13" s="3" t="s">
        <v>65</v>
      </c>
      <c r="D13" s="3" t="s">
        <v>42</v>
      </c>
      <c r="E13" s="3"/>
      <c r="F13" s="3"/>
      <c r="G13" s="3" t="s">
        <v>43</v>
      </c>
      <c r="H13" s="3"/>
      <c r="I13" s="3"/>
      <c r="J13" s="3"/>
      <c r="K13" s="8" t="n">
        <f aca="false">H13*I13</f>
        <v>0</v>
      </c>
      <c r="L13" s="8" t="n">
        <f aca="false">H13*J13</f>
        <v>0</v>
      </c>
      <c r="M13" s="8" t="n">
        <f aca="false">H13*MAX(I13,J13)</f>
        <v>0</v>
      </c>
      <c r="N13" s="8" t="str">
        <f aca="false">IF(M13&gt;=15,"High",IF(M13&gt;=8,"Medium","Low"))</f>
        <v>Low</v>
      </c>
      <c r="O13" s="3"/>
      <c r="P13" s="3"/>
      <c r="Q13" s="3" t="s">
        <v>42</v>
      </c>
      <c r="R13" s="5"/>
      <c r="S13" s="3"/>
    </row>
    <row r="14" customFormat="false" ht="15" hidden="false" customHeight="true" outlineLevel="0" collapsed="false">
      <c r="A14" s="3" t="s">
        <v>66</v>
      </c>
      <c r="B14" s="3" t="s">
        <v>12</v>
      </c>
      <c r="C14" s="3" t="s">
        <v>67</v>
      </c>
      <c r="D14" s="3" t="s">
        <v>42</v>
      </c>
      <c r="E14" s="3"/>
      <c r="F14" s="3"/>
      <c r="G14" s="3" t="s">
        <v>43</v>
      </c>
      <c r="H14" s="3"/>
      <c r="I14" s="3"/>
      <c r="J14" s="3"/>
      <c r="K14" s="8" t="n">
        <f aca="false">H14*I14</f>
        <v>0</v>
      </c>
      <c r="L14" s="8" t="n">
        <f aca="false">H14*J14</f>
        <v>0</v>
      </c>
      <c r="M14" s="8" t="n">
        <f aca="false">H14*MAX(I14,J14)</f>
        <v>0</v>
      </c>
      <c r="N14" s="8" t="str">
        <f aca="false">IF(M14&gt;=15,"High",IF(M14&gt;=8,"Medium","Low"))</f>
        <v>Low</v>
      </c>
      <c r="O14" s="3"/>
      <c r="P14" s="3"/>
      <c r="Q14" s="3" t="s">
        <v>42</v>
      </c>
      <c r="R14" s="5"/>
      <c r="S14" s="3"/>
    </row>
    <row r="15" customFormat="false" ht="15" hidden="false" customHeight="true" outlineLevel="0" collapsed="false">
      <c r="A15" s="3" t="s">
        <v>68</v>
      </c>
      <c r="B15" s="3" t="s">
        <v>12</v>
      </c>
      <c r="C15" s="3" t="s">
        <v>69</v>
      </c>
      <c r="D15" s="3" t="s">
        <v>42</v>
      </c>
      <c r="E15" s="3"/>
      <c r="F15" s="3"/>
      <c r="G15" s="3" t="s">
        <v>43</v>
      </c>
      <c r="H15" s="3"/>
      <c r="I15" s="3"/>
      <c r="J15" s="3"/>
      <c r="K15" s="8" t="n">
        <f aca="false">H15*I15</f>
        <v>0</v>
      </c>
      <c r="L15" s="8" t="n">
        <f aca="false">H15*J15</f>
        <v>0</v>
      </c>
      <c r="M15" s="8" t="n">
        <f aca="false">H15*MAX(I15,J15)</f>
        <v>0</v>
      </c>
      <c r="N15" s="8" t="str">
        <f aca="false">IF(M15&gt;=15,"High",IF(M15&gt;=8,"Medium","Low"))</f>
        <v>Low</v>
      </c>
      <c r="O15" s="3"/>
      <c r="P15" s="3"/>
      <c r="Q15" s="3" t="s">
        <v>42</v>
      </c>
      <c r="R15" s="5"/>
      <c r="S15" s="3"/>
    </row>
    <row r="16" customFormat="false" ht="15" hidden="false" customHeight="true" outlineLevel="0" collapsed="false">
      <c r="A16" s="3" t="s">
        <v>70</v>
      </c>
      <c r="B16" s="3" t="s">
        <v>12</v>
      </c>
      <c r="C16" s="3" t="s">
        <v>71</v>
      </c>
      <c r="D16" s="3" t="s">
        <v>42</v>
      </c>
      <c r="E16" s="3"/>
      <c r="F16" s="3"/>
      <c r="G16" s="3" t="s">
        <v>43</v>
      </c>
      <c r="H16" s="3"/>
      <c r="I16" s="3"/>
      <c r="J16" s="3"/>
      <c r="K16" s="8" t="n">
        <f aca="false">H16*I16</f>
        <v>0</v>
      </c>
      <c r="L16" s="8" t="n">
        <f aca="false">H16*J16</f>
        <v>0</v>
      </c>
      <c r="M16" s="8" t="n">
        <f aca="false">H16*MAX(I16,J16)</f>
        <v>0</v>
      </c>
      <c r="N16" s="8" t="str">
        <f aca="false">IF(M16&gt;=15,"High",IF(M16&gt;=8,"Medium","Low"))</f>
        <v>Low</v>
      </c>
      <c r="O16" s="3"/>
      <c r="P16" s="3"/>
      <c r="Q16" s="3" t="s">
        <v>42</v>
      </c>
      <c r="R16" s="5"/>
      <c r="S16" s="3"/>
    </row>
    <row r="17" customFormat="false" ht="15" hidden="false" customHeight="true" outlineLevel="0" collapsed="false">
      <c r="A17" s="3" t="s">
        <v>72</v>
      </c>
      <c r="B17" s="3" t="s">
        <v>12</v>
      </c>
      <c r="C17" s="3" t="s">
        <v>73</v>
      </c>
      <c r="D17" s="3" t="s">
        <v>42</v>
      </c>
      <c r="E17" s="3"/>
      <c r="F17" s="3"/>
      <c r="G17" s="3" t="s">
        <v>43</v>
      </c>
      <c r="H17" s="3"/>
      <c r="I17" s="3"/>
      <c r="J17" s="3"/>
      <c r="K17" s="8" t="n">
        <f aca="false">H17*I17</f>
        <v>0</v>
      </c>
      <c r="L17" s="8" t="n">
        <f aca="false">H17*J17</f>
        <v>0</v>
      </c>
      <c r="M17" s="8" t="n">
        <f aca="false">H17*MAX(I17,J17)</f>
        <v>0</v>
      </c>
      <c r="N17" s="8" t="str">
        <f aca="false">IF(M17&gt;=15,"High",IF(M17&gt;=8,"Medium","Low"))</f>
        <v>Low</v>
      </c>
      <c r="O17" s="3"/>
      <c r="P17" s="3"/>
      <c r="Q17" s="3" t="s">
        <v>42</v>
      </c>
      <c r="R17" s="5"/>
      <c r="S17" s="3"/>
    </row>
    <row r="18" customFormat="false" ht="15" hidden="false" customHeight="true" outlineLevel="0" collapsed="false">
      <c r="A18" s="3" t="s">
        <v>74</v>
      </c>
      <c r="B18" s="3" t="s">
        <v>12</v>
      </c>
      <c r="C18" s="3" t="s">
        <v>75</v>
      </c>
      <c r="D18" s="3" t="s">
        <v>42</v>
      </c>
      <c r="E18" s="3"/>
      <c r="F18" s="3"/>
      <c r="G18" s="3" t="s">
        <v>43</v>
      </c>
      <c r="H18" s="3"/>
      <c r="I18" s="3"/>
      <c r="J18" s="3"/>
      <c r="K18" s="8" t="n">
        <f aca="false">H18*I18</f>
        <v>0</v>
      </c>
      <c r="L18" s="8" t="n">
        <f aca="false">H18*J18</f>
        <v>0</v>
      </c>
      <c r="M18" s="8" t="n">
        <f aca="false">H18*MAX(I18,J18)</f>
        <v>0</v>
      </c>
      <c r="N18" s="8" t="str">
        <f aca="false">IF(M18&gt;=15,"High",IF(M18&gt;=8,"Medium","Low"))</f>
        <v>Low</v>
      </c>
      <c r="O18" s="3"/>
      <c r="P18" s="3"/>
      <c r="Q18" s="3" t="s">
        <v>42</v>
      </c>
      <c r="R18" s="5"/>
      <c r="S18" s="3"/>
    </row>
    <row r="19" customFormat="false" ht="15" hidden="false" customHeight="true" outlineLevel="0" collapsed="false">
      <c r="A19" s="3" t="s">
        <v>76</v>
      </c>
      <c r="B19" s="3" t="s">
        <v>12</v>
      </c>
      <c r="C19" s="3" t="s">
        <v>77</v>
      </c>
      <c r="D19" s="3" t="s">
        <v>42</v>
      </c>
      <c r="E19" s="3"/>
      <c r="F19" s="3"/>
      <c r="G19" s="3" t="s">
        <v>43</v>
      </c>
      <c r="H19" s="3"/>
      <c r="I19" s="3"/>
      <c r="J19" s="3"/>
      <c r="K19" s="8" t="n">
        <f aca="false">H19*I19</f>
        <v>0</v>
      </c>
      <c r="L19" s="8" t="n">
        <f aca="false">H19*J19</f>
        <v>0</v>
      </c>
      <c r="M19" s="8" t="n">
        <f aca="false">H19*MAX(I19,J19)</f>
        <v>0</v>
      </c>
      <c r="N19" s="8" t="str">
        <f aca="false">IF(M19&gt;=15,"High",IF(M19&gt;=8,"Medium","Low"))</f>
        <v>Low</v>
      </c>
      <c r="O19" s="3"/>
      <c r="P19" s="3"/>
      <c r="Q19" s="3" t="s">
        <v>42</v>
      </c>
      <c r="R19" s="5"/>
      <c r="S19" s="3"/>
    </row>
    <row r="20" customFormat="false" ht="15" hidden="false" customHeight="true" outlineLevel="0" collapsed="false">
      <c r="A20" s="3" t="s">
        <v>78</v>
      </c>
      <c r="B20" s="3" t="s">
        <v>12</v>
      </c>
      <c r="C20" s="3" t="s">
        <v>79</v>
      </c>
      <c r="D20" s="3" t="s">
        <v>42</v>
      </c>
      <c r="E20" s="3"/>
      <c r="F20" s="3"/>
      <c r="G20" s="3" t="s">
        <v>43</v>
      </c>
      <c r="H20" s="3"/>
      <c r="I20" s="3"/>
      <c r="J20" s="3"/>
      <c r="K20" s="8" t="n">
        <f aca="false">H20*I20</f>
        <v>0</v>
      </c>
      <c r="L20" s="8" t="n">
        <f aca="false">H20*J20</f>
        <v>0</v>
      </c>
      <c r="M20" s="8" t="n">
        <f aca="false">H20*MAX(I20,J20)</f>
        <v>0</v>
      </c>
      <c r="N20" s="8" t="str">
        <f aca="false">IF(M20&gt;=15,"High",IF(M20&gt;=8,"Medium","Low"))</f>
        <v>Low</v>
      </c>
      <c r="O20" s="3"/>
      <c r="P20" s="3"/>
      <c r="Q20" s="3" t="s">
        <v>42</v>
      </c>
      <c r="R20" s="5"/>
      <c r="S20" s="3"/>
    </row>
    <row r="21" customFormat="false" ht="15" hidden="false" customHeight="true" outlineLevel="0" collapsed="false">
      <c r="A21" s="3" t="s">
        <v>80</v>
      </c>
      <c r="B21" s="3" t="s">
        <v>12</v>
      </c>
      <c r="C21" s="3" t="s">
        <v>81</v>
      </c>
      <c r="D21" s="3" t="s">
        <v>42</v>
      </c>
      <c r="E21" s="3"/>
      <c r="F21" s="3"/>
      <c r="G21" s="3" t="s">
        <v>43</v>
      </c>
      <c r="H21" s="3"/>
      <c r="I21" s="3"/>
      <c r="J21" s="3"/>
      <c r="K21" s="8" t="n">
        <f aca="false">H21*I21</f>
        <v>0</v>
      </c>
      <c r="L21" s="8" t="n">
        <f aca="false">H21*J21</f>
        <v>0</v>
      </c>
      <c r="M21" s="8" t="n">
        <f aca="false">H21*MAX(I21,J21)</f>
        <v>0</v>
      </c>
      <c r="N21" s="8" t="str">
        <f aca="false">IF(M21&gt;=15,"High",IF(M21&gt;=8,"Medium","Low"))</f>
        <v>Low</v>
      </c>
      <c r="O21" s="3"/>
      <c r="P21" s="3"/>
      <c r="Q21" s="3" t="s">
        <v>42</v>
      </c>
      <c r="R21" s="5"/>
      <c r="S21" s="3"/>
    </row>
    <row r="22" customFormat="false" ht="15" hidden="false" customHeight="true" outlineLevel="0" collapsed="false">
      <c r="A22" s="3" t="s">
        <v>82</v>
      </c>
      <c r="B22" s="3" t="s">
        <v>12</v>
      </c>
      <c r="C22" s="3" t="s">
        <v>83</v>
      </c>
      <c r="D22" s="3" t="s">
        <v>42</v>
      </c>
      <c r="E22" s="3"/>
      <c r="F22" s="3"/>
      <c r="G22" s="3" t="s">
        <v>43</v>
      </c>
      <c r="H22" s="3"/>
      <c r="I22" s="3"/>
      <c r="J22" s="3"/>
      <c r="K22" s="8" t="n">
        <f aca="false">H22*I22</f>
        <v>0</v>
      </c>
      <c r="L22" s="8" t="n">
        <f aca="false">H22*J22</f>
        <v>0</v>
      </c>
      <c r="M22" s="8" t="n">
        <f aca="false">H22*MAX(I22,J22)</f>
        <v>0</v>
      </c>
      <c r="N22" s="8" t="str">
        <f aca="false">IF(M22&gt;=15,"High",IF(M22&gt;=8,"Medium","Low"))</f>
        <v>Low</v>
      </c>
      <c r="O22" s="3"/>
      <c r="P22" s="3"/>
      <c r="Q22" s="3" t="s">
        <v>42</v>
      </c>
      <c r="R22" s="5"/>
      <c r="S22" s="3"/>
    </row>
    <row r="23" customFormat="false" ht="15" hidden="false" customHeight="true" outlineLevel="0" collapsed="false">
      <c r="A23" s="3" t="s">
        <v>84</v>
      </c>
      <c r="B23" s="3" t="s">
        <v>12</v>
      </c>
      <c r="C23" s="3" t="s">
        <v>85</v>
      </c>
      <c r="D23" s="3" t="s">
        <v>42</v>
      </c>
      <c r="E23" s="3"/>
      <c r="F23" s="3"/>
      <c r="G23" s="3" t="s">
        <v>43</v>
      </c>
      <c r="H23" s="3"/>
      <c r="I23" s="3"/>
      <c r="J23" s="3"/>
      <c r="K23" s="8" t="n">
        <f aca="false">H23*I23</f>
        <v>0</v>
      </c>
      <c r="L23" s="8" t="n">
        <f aca="false">H23*J23</f>
        <v>0</v>
      </c>
      <c r="M23" s="8" t="n">
        <f aca="false">H23*MAX(I23,J23)</f>
        <v>0</v>
      </c>
      <c r="N23" s="8" t="str">
        <f aca="false">IF(M23&gt;=15,"High",IF(M23&gt;=8,"Medium","Low"))</f>
        <v>Low</v>
      </c>
      <c r="O23" s="3"/>
      <c r="P23" s="3"/>
      <c r="Q23" s="3" t="s">
        <v>42</v>
      </c>
      <c r="R23" s="5"/>
      <c r="S23" s="3"/>
    </row>
    <row r="24" customFormat="false" ht="15" hidden="false" customHeight="true" outlineLevel="0" collapsed="false">
      <c r="A24" s="3" t="s">
        <v>86</v>
      </c>
      <c r="B24" s="3" t="s">
        <v>12</v>
      </c>
      <c r="C24" s="3" t="s">
        <v>87</v>
      </c>
      <c r="D24" s="3" t="s">
        <v>42</v>
      </c>
      <c r="E24" s="3"/>
      <c r="F24" s="3"/>
      <c r="G24" s="3" t="s">
        <v>43</v>
      </c>
      <c r="H24" s="3"/>
      <c r="I24" s="3"/>
      <c r="J24" s="3"/>
      <c r="K24" s="8" t="n">
        <f aca="false">H24*I24</f>
        <v>0</v>
      </c>
      <c r="L24" s="8" t="n">
        <f aca="false">H24*J24</f>
        <v>0</v>
      </c>
      <c r="M24" s="8" t="n">
        <f aca="false">H24*MAX(I24,J24)</f>
        <v>0</v>
      </c>
      <c r="N24" s="8" t="str">
        <f aca="false">IF(M24&gt;=15,"High",IF(M24&gt;=8,"Medium","Low"))</f>
        <v>Low</v>
      </c>
      <c r="O24" s="3"/>
      <c r="P24" s="3"/>
      <c r="Q24" s="3" t="s">
        <v>42</v>
      </c>
      <c r="R24" s="5"/>
      <c r="S24" s="3"/>
    </row>
    <row r="25" customFormat="false" ht="15" hidden="false" customHeight="true" outlineLevel="0" collapsed="false">
      <c r="A25" s="3" t="s">
        <v>88</v>
      </c>
      <c r="B25" s="3" t="s">
        <v>12</v>
      </c>
      <c r="C25" s="3" t="s">
        <v>89</v>
      </c>
      <c r="D25" s="3" t="s">
        <v>42</v>
      </c>
      <c r="E25" s="3"/>
      <c r="F25" s="3"/>
      <c r="G25" s="3" t="s">
        <v>43</v>
      </c>
      <c r="H25" s="3"/>
      <c r="I25" s="3"/>
      <c r="J25" s="3"/>
      <c r="K25" s="8" t="n">
        <f aca="false">H25*I25</f>
        <v>0</v>
      </c>
      <c r="L25" s="8" t="n">
        <f aca="false">H25*J25</f>
        <v>0</v>
      </c>
      <c r="M25" s="8" t="n">
        <f aca="false">H25*MAX(I25,J25)</f>
        <v>0</v>
      </c>
      <c r="N25" s="8" t="str">
        <f aca="false">IF(M25&gt;=15,"High",IF(M25&gt;=8,"Medium","Low"))</f>
        <v>Low</v>
      </c>
      <c r="O25" s="3"/>
      <c r="P25" s="3"/>
      <c r="Q25" s="3" t="s">
        <v>42</v>
      </c>
      <c r="R25" s="5"/>
      <c r="S25" s="3"/>
    </row>
    <row r="26" customFormat="false" ht="15" hidden="false" customHeight="true" outlineLevel="0" collapsed="false">
      <c r="A26" s="3" t="s">
        <v>90</v>
      </c>
      <c r="B26" s="3" t="s">
        <v>12</v>
      </c>
      <c r="C26" s="3" t="s">
        <v>91</v>
      </c>
      <c r="D26" s="3" t="s">
        <v>42</v>
      </c>
      <c r="E26" s="3"/>
      <c r="F26" s="3"/>
      <c r="G26" s="3" t="s">
        <v>43</v>
      </c>
      <c r="H26" s="3"/>
      <c r="I26" s="3"/>
      <c r="J26" s="3"/>
      <c r="K26" s="8" t="n">
        <f aca="false">H26*I26</f>
        <v>0</v>
      </c>
      <c r="L26" s="8" t="n">
        <f aca="false">H26*J26</f>
        <v>0</v>
      </c>
      <c r="M26" s="8" t="n">
        <f aca="false">H26*MAX(I26,J26)</f>
        <v>0</v>
      </c>
      <c r="N26" s="8" t="str">
        <f aca="false">IF(M26&gt;=15,"High",IF(M26&gt;=8,"Medium","Low"))</f>
        <v>Low</v>
      </c>
      <c r="O26" s="3"/>
      <c r="P26" s="3"/>
      <c r="Q26" s="3" t="s">
        <v>42</v>
      </c>
      <c r="R26" s="5"/>
      <c r="S26" s="3"/>
    </row>
    <row r="27" customFormat="false" ht="15" hidden="false" customHeight="true" outlineLevel="0" collapsed="false">
      <c r="A27" s="3" t="s">
        <v>92</v>
      </c>
      <c r="B27" s="3" t="s">
        <v>12</v>
      </c>
      <c r="C27" s="3" t="s">
        <v>93</v>
      </c>
      <c r="D27" s="3" t="s">
        <v>42</v>
      </c>
      <c r="E27" s="3"/>
      <c r="F27" s="3"/>
      <c r="G27" s="3" t="s">
        <v>43</v>
      </c>
      <c r="H27" s="3"/>
      <c r="I27" s="3"/>
      <c r="J27" s="3"/>
      <c r="K27" s="8" t="n">
        <f aca="false">H27*I27</f>
        <v>0</v>
      </c>
      <c r="L27" s="8" t="n">
        <f aca="false">H27*J27</f>
        <v>0</v>
      </c>
      <c r="M27" s="8" t="n">
        <f aca="false">H27*MAX(I27,J27)</f>
        <v>0</v>
      </c>
      <c r="N27" s="8" t="str">
        <f aca="false">IF(M27&gt;=15,"High",IF(M27&gt;=8,"Medium","Low"))</f>
        <v>Low</v>
      </c>
      <c r="O27" s="3"/>
      <c r="P27" s="3"/>
      <c r="Q27" s="3" t="s">
        <v>42</v>
      </c>
      <c r="R27" s="5"/>
      <c r="S27" s="3"/>
    </row>
    <row r="28" customFormat="false" ht="15" hidden="false" customHeight="true" outlineLevel="0" collapsed="false">
      <c r="A28" s="3" t="s">
        <v>94</v>
      </c>
      <c r="B28" s="3" t="s">
        <v>12</v>
      </c>
      <c r="C28" s="3" t="s">
        <v>95</v>
      </c>
      <c r="D28" s="3" t="s">
        <v>42</v>
      </c>
      <c r="E28" s="3"/>
      <c r="F28" s="3"/>
      <c r="G28" s="3" t="s">
        <v>43</v>
      </c>
      <c r="H28" s="3"/>
      <c r="I28" s="3"/>
      <c r="J28" s="3"/>
      <c r="K28" s="8" t="n">
        <f aca="false">H28*I28</f>
        <v>0</v>
      </c>
      <c r="L28" s="8" t="n">
        <f aca="false">H28*J28</f>
        <v>0</v>
      </c>
      <c r="M28" s="8" t="n">
        <f aca="false">H28*MAX(I28,J28)</f>
        <v>0</v>
      </c>
      <c r="N28" s="8" t="str">
        <f aca="false">IF(M28&gt;=15,"High",IF(M28&gt;=8,"Medium","Low"))</f>
        <v>Low</v>
      </c>
      <c r="O28" s="3"/>
      <c r="P28" s="3"/>
      <c r="Q28" s="3" t="s">
        <v>42</v>
      </c>
      <c r="R28" s="5"/>
      <c r="S28" s="3"/>
    </row>
    <row r="29" customFormat="false" ht="15" hidden="false" customHeight="true" outlineLevel="0" collapsed="false">
      <c r="A29" s="3" t="s">
        <v>96</v>
      </c>
      <c r="B29" s="3" t="s">
        <v>12</v>
      </c>
      <c r="C29" s="3" t="s">
        <v>97</v>
      </c>
      <c r="D29" s="3" t="s">
        <v>42</v>
      </c>
      <c r="E29" s="3"/>
      <c r="F29" s="3"/>
      <c r="G29" s="3" t="s">
        <v>43</v>
      </c>
      <c r="H29" s="3"/>
      <c r="I29" s="3"/>
      <c r="J29" s="3"/>
      <c r="K29" s="8" t="n">
        <f aca="false">H29*I29</f>
        <v>0</v>
      </c>
      <c r="L29" s="8" t="n">
        <f aca="false">H29*J29</f>
        <v>0</v>
      </c>
      <c r="M29" s="8" t="n">
        <f aca="false">H29*MAX(I29,J29)</f>
        <v>0</v>
      </c>
      <c r="N29" s="8" t="str">
        <f aca="false">IF(M29&gt;=15,"High",IF(M29&gt;=8,"Medium","Low"))</f>
        <v>Low</v>
      </c>
      <c r="O29" s="3"/>
      <c r="P29" s="3"/>
      <c r="Q29" s="3" t="s">
        <v>42</v>
      </c>
      <c r="R29" s="5"/>
      <c r="S29" s="3"/>
    </row>
    <row r="30" customFormat="false" ht="15" hidden="false" customHeight="true" outlineLevel="0" collapsed="false">
      <c r="A30" s="3" t="s">
        <v>98</v>
      </c>
      <c r="B30" s="3" t="s">
        <v>12</v>
      </c>
      <c r="C30" s="3" t="s">
        <v>99</v>
      </c>
      <c r="D30" s="3" t="s">
        <v>42</v>
      </c>
      <c r="E30" s="3"/>
      <c r="F30" s="3"/>
      <c r="G30" s="3" t="s">
        <v>43</v>
      </c>
      <c r="H30" s="3"/>
      <c r="I30" s="3"/>
      <c r="J30" s="3"/>
      <c r="K30" s="8" t="n">
        <f aca="false">H30*I30</f>
        <v>0</v>
      </c>
      <c r="L30" s="8" t="n">
        <f aca="false">H30*J30</f>
        <v>0</v>
      </c>
      <c r="M30" s="8" t="n">
        <f aca="false">H30*MAX(I30,J30)</f>
        <v>0</v>
      </c>
      <c r="N30" s="8" t="str">
        <f aca="false">IF(M30&gt;=15,"High",IF(M30&gt;=8,"Medium","Low"))</f>
        <v>Low</v>
      </c>
      <c r="O30" s="3"/>
      <c r="P30" s="3"/>
      <c r="Q30" s="3" t="s">
        <v>42</v>
      </c>
      <c r="R30" s="5"/>
      <c r="S30" s="3"/>
    </row>
    <row r="31" customFormat="false" ht="15" hidden="false" customHeight="true" outlineLevel="0" collapsed="false">
      <c r="A31" s="3" t="s">
        <v>100</v>
      </c>
      <c r="B31" s="3" t="s">
        <v>12</v>
      </c>
      <c r="C31" s="3" t="s">
        <v>101</v>
      </c>
      <c r="D31" s="3" t="s">
        <v>42</v>
      </c>
      <c r="E31" s="3"/>
      <c r="F31" s="3"/>
      <c r="G31" s="3" t="s">
        <v>43</v>
      </c>
      <c r="H31" s="3"/>
      <c r="I31" s="3"/>
      <c r="J31" s="3"/>
      <c r="K31" s="8" t="n">
        <f aca="false">H31*I31</f>
        <v>0</v>
      </c>
      <c r="L31" s="8" t="n">
        <f aca="false">H31*J31</f>
        <v>0</v>
      </c>
      <c r="M31" s="8" t="n">
        <f aca="false">H31*MAX(I31,J31)</f>
        <v>0</v>
      </c>
      <c r="N31" s="8" t="str">
        <f aca="false">IF(M31&gt;=15,"High",IF(M31&gt;=8,"Medium","Low"))</f>
        <v>Low</v>
      </c>
      <c r="O31" s="3"/>
      <c r="P31" s="3"/>
      <c r="Q31" s="3" t="s">
        <v>42</v>
      </c>
      <c r="R31" s="5"/>
      <c r="S31" s="3"/>
    </row>
  </sheetData>
  <dataValidations count="5">
    <dataValidation allowBlank="true" errorStyle="stop" operator="between" showDropDown="false" showErrorMessage="false" showInputMessage="false" sqref="H2:H31" type="whole">
      <formula1>1</formula1>
      <formula2>5</formula2>
    </dataValidation>
    <dataValidation allowBlank="true" errorStyle="stop" operator="between" showDropDown="false" showErrorMessage="false" showInputMessage="false" sqref="I2:J31" type="whole">
      <formula1>0</formula1>
      <formula2>5</formula2>
    </dataValidation>
    <dataValidation allowBlank="true" errorStyle="stop" operator="between" showDropDown="false" showErrorMessage="false" showInputMessage="false" sqref="E2:E31" type="list">
      <formula1>Lookups!$F$2:$F$7</formula1>
      <formula2>0</formula2>
    </dataValidation>
    <dataValidation allowBlank="true" errorStyle="stop" operator="between" showDropDown="false" showErrorMessage="false" showInputMessage="false" sqref="O2:O31" type="list">
      <formula1>Lookups!$G$2:$G$5</formula1>
      <formula2>0</formula2>
    </dataValidation>
    <dataValidation allowBlank="true" errorStyle="stop" operator="between" showDropDown="false" showErrorMessage="false" showInputMessage="false" sqref="D2:D31 Q2:Q31" type="list">
      <formula1>Lookups!$H$2:$H$5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3"/>
    <col collapsed="false" customWidth="true" hidden="false" outlineLevel="0" max="6" min="6" style="1" width="46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2" t="s">
        <v>102</v>
      </c>
      <c r="B1" s="2" t="s">
        <v>103</v>
      </c>
      <c r="C1" s="2" t="s">
        <v>104</v>
      </c>
      <c r="D1" s="2" t="s">
        <v>105</v>
      </c>
      <c r="E1" s="2"/>
      <c r="F1" s="2" t="s">
        <v>106</v>
      </c>
      <c r="G1" s="2" t="s">
        <v>107</v>
      </c>
      <c r="H1" s="2" t="s">
        <v>108</v>
      </c>
    </row>
    <row r="2" customFormat="false" ht="15" hidden="false" customHeight="true" outlineLevel="0" collapsed="false">
      <c r="A2" s="8" t="s">
        <v>109</v>
      </c>
      <c r="B2" s="8" t="n">
        <v>1</v>
      </c>
      <c r="C2" s="8" t="s">
        <v>110</v>
      </c>
      <c r="D2" s="8" t="s">
        <v>111</v>
      </c>
      <c r="E2" s="8"/>
      <c r="F2" s="8" t="s">
        <v>112</v>
      </c>
      <c r="G2" s="8" t="s">
        <v>113</v>
      </c>
      <c r="H2" s="8" t="s">
        <v>42</v>
      </c>
    </row>
    <row r="3" customFormat="false" ht="15" hidden="false" customHeight="true" outlineLevel="0" collapsed="false">
      <c r="A3" s="8" t="s">
        <v>109</v>
      </c>
      <c r="B3" s="8" t="n">
        <v>2</v>
      </c>
      <c r="C3" s="8" t="s">
        <v>114</v>
      </c>
      <c r="D3" s="8" t="s">
        <v>115</v>
      </c>
      <c r="E3" s="8"/>
      <c r="F3" s="8" t="s">
        <v>116</v>
      </c>
      <c r="G3" s="8" t="s">
        <v>117</v>
      </c>
      <c r="H3" s="8" t="s">
        <v>118</v>
      </c>
    </row>
    <row r="4" customFormat="false" ht="15" hidden="false" customHeight="true" outlineLevel="0" collapsed="false">
      <c r="A4" s="8" t="s">
        <v>109</v>
      </c>
      <c r="B4" s="8" t="n">
        <v>3</v>
      </c>
      <c r="C4" s="8" t="s">
        <v>119</v>
      </c>
      <c r="D4" s="8" t="s">
        <v>120</v>
      </c>
      <c r="E4" s="8"/>
      <c r="F4" s="8" t="s">
        <v>121</v>
      </c>
      <c r="G4" s="8" t="s">
        <v>122</v>
      </c>
      <c r="H4" s="8" t="s">
        <v>123</v>
      </c>
    </row>
    <row r="5" customFormat="false" ht="15" hidden="false" customHeight="true" outlineLevel="0" collapsed="false">
      <c r="A5" s="8" t="s">
        <v>109</v>
      </c>
      <c r="B5" s="8" t="n">
        <v>4</v>
      </c>
      <c r="C5" s="8" t="s">
        <v>124</v>
      </c>
      <c r="D5" s="8" t="s">
        <v>125</v>
      </c>
      <c r="E5" s="8"/>
      <c r="F5" s="8" t="s">
        <v>126</v>
      </c>
      <c r="G5" s="8" t="s">
        <v>127</v>
      </c>
      <c r="H5" s="8" t="s">
        <v>128</v>
      </c>
    </row>
    <row r="6" customFormat="false" ht="15" hidden="false" customHeight="true" outlineLevel="0" collapsed="false">
      <c r="A6" s="8" t="s">
        <v>109</v>
      </c>
      <c r="B6" s="8" t="n">
        <v>5</v>
      </c>
      <c r="C6" s="8" t="s">
        <v>129</v>
      </c>
      <c r="D6" s="8" t="s">
        <v>130</v>
      </c>
      <c r="E6" s="8"/>
      <c r="F6" s="8" t="s">
        <v>131</v>
      </c>
      <c r="G6" s="8"/>
      <c r="H6" s="8"/>
    </row>
    <row r="7" customFormat="false" ht="15" hidden="false" customHeight="true" outlineLevel="0" collapsed="false">
      <c r="A7" s="8" t="s">
        <v>132</v>
      </c>
      <c r="B7" s="8" t="n">
        <v>0</v>
      </c>
      <c r="C7" s="8" t="s">
        <v>133</v>
      </c>
      <c r="D7" s="8" t="s">
        <v>133</v>
      </c>
      <c r="E7" s="8"/>
      <c r="F7" s="8" t="s">
        <v>134</v>
      </c>
      <c r="G7" s="8"/>
      <c r="H7" s="8"/>
    </row>
    <row r="8" customFormat="false" ht="15" hidden="false" customHeight="true" outlineLevel="0" collapsed="false">
      <c r="A8" s="8" t="s">
        <v>132</v>
      </c>
      <c r="B8" s="8" t="n">
        <v>1</v>
      </c>
      <c r="C8" s="8" t="s">
        <v>110</v>
      </c>
      <c r="D8" s="8" t="s">
        <v>135</v>
      </c>
      <c r="E8" s="8"/>
      <c r="F8" s="8"/>
      <c r="G8" s="8"/>
      <c r="H8" s="8"/>
    </row>
    <row r="9" customFormat="false" ht="15" hidden="false" customHeight="true" outlineLevel="0" collapsed="false">
      <c r="A9" s="8" t="s">
        <v>132</v>
      </c>
      <c r="B9" s="8" t="n">
        <v>2</v>
      </c>
      <c r="C9" s="8" t="s">
        <v>114</v>
      </c>
      <c r="D9" s="8" t="s">
        <v>136</v>
      </c>
      <c r="E9" s="8"/>
      <c r="F9" s="8"/>
      <c r="G9" s="8"/>
      <c r="H9" s="8"/>
    </row>
    <row r="10" customFormat="false" ht="15" hidden="false" customHeight="true" outlineLevel="0" collapsed="false">
      <c r="A10" s="8" t="s">
        <v>132</v>
      </c>
      <c r="B10" s="8" t="n">
        <v>3</v>
      </c>
      <c r="C10" s="8" t="s">
        <v>119</v>
      </c>
      <c r="D10" s="8" t="s">
        <v>137</v>
      </c>
      <c r="E10" s="8"/>
      <c r="F10" s="8"/>
      <c r="G10" s="8"/>
      <c r="H10" s="8"/>
    </row>
    <row r="11" customFormat="false" ht="15" hidden="false" customHeight="true" outlineLevel="0" collapsed="false">
      <c r="A11" s="8" t="s">
        <v>132</v>
      </c>
      <c r="B11" s="8" t="n">
        <v>4</v>
      </c>
      <c r="C11" s="8" t="s">
        <v>124</v>
      </c>
      <c r="D11" s="8" t="s">
        <v>138</v>
      </c>
      <c r="E11" s="8"/>
      <c r="F11" s="8"/>
      <c r="G11" s="8"/>
      <c r="H11" s="8"/>
    </row>
    <row r="12" customFormat="false" ht="15" hidden="false" customHeight="true" outlineLevel="0" collapsed="false">
      <c r="A12" s="8" t="s">
        <v>132</v>
      </c>
      <c r="B12" s="8" t="n">
        <v>5</v>
      </c>
      <c r="C12" s="8" t="s">
        <v>129</v>
      </c>
      <c r="D12" s="8" t="s">
        <v>139</v>
      </c>
      <c r="E12" s="8"/>
      <c r="F12" s="8"/>
      <c r="G12" s="8"/>
      <c r="H12" s="8"/>
    </row>
    <row r="13" customFormat="false" ht="15" hidden="false" customHeight="true" outlineLevel="0" collapsed="false">
      <c r="A13" s="8" t="s">
        <v>140</v>
      </c>
      <c r="B13" s="8" t="n">
        <v>0</v>
      </c>
      <c r="C13" s="8" t="s">
        <v>133</v>
      </c>
      <c r="D13" s="8" t="s">
        <v>133</v>
      </c>
      <c r="E13" s="8"/>
      <c r="F13" s="8"/>
      <c r="G13" s="8"/>
      <c r="H13" s="8"/>
    </row>
    <row r="14" customFormat="false" ht="15" hidden="false" customHeight="true" outlineLevel="0" collapsed="false">
      <c r="A14" s="8" t="s">
        <v>140</v>
      </c>
      <c r="B14" s="8" t="n">
        <v>1</v>
      </c>
      <c r="C14" s="8" t="s">
        <v>110</v>
      </c>
      <c r="D14" s="8" t="s">
        <v>141</v>
      </c>
      <c r="E14" s="8"/>
      <c r="F14" s="8"/>
      <c r="G14" s="8"/>
      <c r="H14" s="8"/>
    </row>
    <row r="15" customFormat="false" ht="15" hidden="false" customHeight="true" outlineLevel="0" collapsed="false">
      <c r="A15" s="8" t="s">
        <v>140</v>
      </c>
      <c r="B15" s="8" t="n">
        <v>2</v>
      </c>
      <c r="C15" s="8" t="s">
        <v>114</v>
      </c>
      <c r="D15" s="8" t="s">
        <v>142</v>
      </c>
      <c r="E15" s="8"/>
      <c r="F15" s="8"/>
      <c r="G15" s="8"/>
      <c r="H15" s="8"/>
    </row>
    <row r="16" customFormat="false" ht="15" hidden="false" customHeight="true" outlineLevel="0" collapsed="false">
      <c r="A16" s="8" t="s">
        <v>140</v>
      </c>
      <c r="B16" s="8" t="n">
        <v>3</v>
      </c>
      <c r="C16" s="8" t="s">
        <v>119</v>
      </c>
      <c r="D16" s="8" t="s">
        <v>143</v>
      </c>
      <c r="E16" s="8"/>
      <c r="F16" s="8"/>
      <c r="G16" s="8"/>
      <c r="H16" s="8"/>
    </row>
    <row r="17" customFormat="false" ht="15" hidden="false" customHeight="true" outlineLevel="0" collapsed="false">
      <c r="A17" s="8" t="s">
        <v>140</v>
      </c>
      <c r="B17" s="8" t="n">
        <v>4</v>
      </c>
      <c r="C17" s="8" t="s">
        <v>124</v>
      </c>
      <c r="D17" s="8" t="s">
        <v>144</v>
      </c>
      <c r="E17" s="8"/>
      <c r="F17" s="8"/>
      <c r="G17" s="8"/>
      <c r="H17" s="8"/>
    </row>
    <row r="18" customFormat="false" ht="15" hidden="false" customHeight="true" outlineLevel="0" collapsed="false">
      <c r="A18" s="8" t="s">
        <v>140</v>
      </c>
      <c r="B18" s="8" t="n">
        <v>5</v>
      </c>
      <c r="C18" s="8" t="s">
        <v>129</v>
      </c>
      <c r="D18" s="8" t="s">
        <v>145</v>
      </c>
      <c r="E18" s="8"/>
      <c r="F18" s="8"/>
      <c r="G18" s="8"/>
      <c r="H18" s="8"/>
    </row>
    <row r="19" customFormat="false" ht="15" hidden="false" customHeight="true" outlineLevel="0" collapsed="false">
      <c r="A19" s="8" t="s">
        <v>146</v>
      </c>
      <c r="B19" s="8" t="s">
        <v>124</v>
      </c>
      <c r="C19" s="8" t="s">
        <v>124</v>
      </c>
      <c r="D19" s="8" t="s">
        <v>147</v>
      </c>
      <c r="E19" s="8"/>
      <c r="F19" s="8"/>
      <c r="G19" s="8"/>
      <c r="H19" s="8"/>
    </row>
    <row r="20" customFormat="false" ht="15" hidden="false" customHeight="true" outlineLevel="0" collapsed="false">
      <c r="A20" s="8" t="s">
        <v>146</v>
      </c>
      <c r="B20" s="8" t="s">
        <v>119</v>
      </c>
      <c r="C20" s="8" t="s">
        <v>119</v>
      </c>
      <c r="D20" s="8" t="s">
        <v>148</v>
      </c>
      <c r="E20" s="8"/>
      <c r="F20" s="8"/>
      <c r="G20" s="8"/>
      <c r="H20" s="8"/>
    </row>
    <row r="21" customFormat="false" ht="15" hidden="false" customHeight="true" outlineLevel="0" collapsed="false">
      <c r="A21" s="8" t="s">
        <v>146</v>
      </c>
      <c r="B21" s="8" t="s">
        <v>114</v>
      </c>
      <c r="C21" s="8" t="s">
        <v>114</v>
      </c>
      <c r="D21" s="8" t="s">
        <v>149</v>
      </c>
      <c r="E21" s="8"/>
      <c r="F21" s="8"/>
      <c r="G21" s="8"/>
      <c r="H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2026-05-19T16:47:01Z</dcterms:created>
  <dc:creator>openpyxl</dc:creator>
  <dc:description/>
  <dc:language>en-US</dc:language>
  <cp:lastModifiedBy/>
  <dcterms:modified xsi:type="dcterms:W3CDTF">2026-05-19T16:55:29Z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