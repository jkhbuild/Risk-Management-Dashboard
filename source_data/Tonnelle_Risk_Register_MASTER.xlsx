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5163e9799093f16/Projects/powerbi/risk_register/source_data/"/>
    </mc:Choice>
  </mc:AlternateContent>
  <xr:revisionPtr revIDLastSave="151" documentId="11_067FB05F2F28DA985D0D5D19DA7C1108FED4179B" xr6:coauthVersionLast="47" xr6:coauthVersionMax="47" xr10:uidLastSave="{779466F3-3AF1-449D-A171-9417FB426DDA}"/>
  <bookViews>
    <workbookView xWindow="-120" yWindow="-120" windowWidth="38640" windowHeight="21120" tabRatio="500" activeTab="1" xr2:uid="{00000000-000D-0000-FFFF-FFFF00000000}"/>
  </bookViews>
  <sheets>
    <sheet name="Project" sheetId="1" r:id="rId1"/>
    <sheet name="Risk_Register" sheetId="2" r:id="rId2"/>
    <sheet name="Looku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8" i="2" l="1"/>
  <c r="M38" i="2"/>
  <c r="L38" i="2"/>
  <c r="K38" i="2"/>
  <c r="N37" i="2"/>
  <c r="M37" i="2"/>
  <c r="L37" i="2"/>
  <c r="K37" i="2"/>
  <c r="N36" i="2"/>
  <c r="M36" i="2"/>
  <c r="L36" i="2"/>
  <c r="K36" i="2"/>
  <c r="N35" i="2"/>
  <c r="M35" i="2"/>
  <c r="L35" i="2"/>
  <c r="K35" i="2"/>
  <c r="M34" i="2"/>
  <c r="N34" i="2" s="1"/>
  <c r="L34" i="2"/>
  <c r="K34" i="2"/>
  <c r="M33" i="2"/>
  <c r="N33" i="2" s="1"/>
  <c r="L33" i="2"/>
  <c r="K33" i="2"/>
  <c r="N32" i="2"/>
  <c r="M32" i="2"/>
  <c r="L32" i="2"/>
  <c r="K32" i="2"/>
  <c r="M31" i="2"/>
  <c r="N31" i="2" s="1"/>
  <c r="L31" i="2"/>
  <c r="K31" i="2"/>
  <c r="M30" i="2"/>
  <c r="N30" i="2" s="1"/>
  <c r="L30" i="2"/>
  <c r="K30" i="2"/>
  <c r="M29" i="2"/>
  <c r="N29" i="2" s="1"/>
  <c r="L29" i="2"/>
  <c r="K29" i="2"/>
  <c r="M28" i="2"/>
  <c r="N28" i="2" s="1"/>
  <c r="L28" i="2"/>
  <c r="K28" i="2"/>
  <c r="N27" i="2"/>
  <c r="M27" i="2"/>
  <c r="L27" i="2"/>
  <c r="K27" i="2"/>
  <c r="M26" i="2"/>
  <c r="N26" i="2" s="1"/>
  <c r="L26" i="2"/>
  <c r="K26" i="2"/>
  <c r="M25" i="2"/>
  <c r="N25" i="2" s="1"/>
  <c r="L25" i="2"/>
  <c r="K25" i="2"/>
  <c r="M24" i="2"/>
  <c r="N24" i="2" s="1"/>
  <c r="L24" i="2"/>
  <c r="K24" i="2"/>
  <c r="M23" i="2"/>
  <c r="N23" i="2" s="1"/>
  <c r="L23" i="2"/>
  <c r="K23" i="2"/>
  <c r="N22" i="2"/>
  <c r="M22" i="2"/>
  <c r="L22" i="2"/>
  <c r="K22" i="2"/>
  <c r="M21" i="2"/>
  <c r="N21" i="2" s="1"/>
  <c r="L21" i="2"/>
  <c r="K21" i="2"/>
  <c r="M20" i="2"/>
  <c r="N20" i="2" s="1"/>
  <c r="L20" i="2"/>
  <c r="K20" i="2"/>
  <c r="M19" i="2"/>
  <c r="N19" i="2" s="1"/>
  <c r="L19" i="2"/>
  <c r="K19" i="2"/>
  <c r="M18" i="2"/>
  <c r="N18" i="2" s="1"/>
  <c r="L18" i="2"/>
  <c r="K18" i="2"/>
  <c r="N17" i="2"/>
  <c r="M17" i="2"/>
  <c r="L17" i="2"/>
  <c r="K17" i="2"/>
  <c r="M16" i="2"/>
  <c r="N16" i="2" s="1"/>
  <c r="L16" i="2"/>
  <c r="K16" i="2"/>
  <c r="M15" i="2"/>
  <c r="N15" i="2" s="1"/>
  <c r="L15" i="2"/>
  <c r="K15" i="2"/>
  <c r="M14" i="2"/>
  <c r="N14" i="2" s="1"/>
  <c r="L14" i="2"/>
  <c r="K14" i="2"/>
  <c r="M13" i="2"/>
  <c r="N13" i="2" s="1"/>
  <c r="L13" i="2"/>
  <c r="K13" i="2"/>
  <c r="N12" i="2"/>
  <c r="M12" i="2"/>
  <c r="L12" i="2"/>
  <c r="K12" i="2"/>
  <c r="M11" i="2"/>
  <c r="N11" i="2" s="1"/>
  <c r="L11" i="2"/>
  <c r="K11" i="2"/>
  <c r="M10" i="2"/>
  <c r="N10" i="2" s="1"/>
  <c r="L10" i="2"/>
  <c r="K10" i="2"/>
  <c r="M9" i="2"/>
  <c r="N9" i="2" s="1"/>
  <c r="L9" i="2"/>
  <c r="K9" i="2"/>
  <c r="M8" i="2"/>
  <c r="N8" i="2" s="1"/>
  <c r="L8" i="2"/>
  <c r="K8" i="2"/>
  <c r="N7" i="2"/>
  <c r="M7" i="2"/>
  <c r="L7" i="2"/>
  <c r="K7" i="2"/>
  <c r="M6" i="2"/>
  <c r="N6" i="2" s="1"/>
  <c r="L6" i="2"/>
  <c r="K6" i="2"/>
  <c r="M5" i="2"/>
  <c r="N5" i="2" s="1"/>
  <c r="L5" i="2"/>
  <c r="K5" i="2"/>
  <c r="M4" i="2"/>
  <c r="N4" i="2" s="1"/>
  <c r="L4" i="2"/>
  <c r="K4" i="2"/>
  <c r="M3" i="2"/>
  <c r="N3" i="2" s="1"/>
  <c r="L3" i="2"/>
  <c r="K3" i="2"/>
  <c r="N2" i="2"/>
  <c r="M2" i="2"/>
  <c r="L2" i="2"/>
  <c r="K2" i="2"/>
</calcChain>
</file>

<file path=xl/sharedStrings.xml><?xml version="1.0" encoding="utf-8"?>
<sst xmlns="http://schemas.openxmlformats.org/spreadsheetml/2006/main" count="532" uniqueCount="249">
  <si>
    <t>project_id</t>
  </si>
  <si>
    <t>project_name</t>
  </si>
  <si>
    <t>contract_number</t>
  </si>
  <si>
    <t>contractor</t>
  </si>
  <si>
    <t>pmc</t>
  </si>
  <si>
    <t>chief_engineer</t>
  </si>
  <si>
    <t>budget</t>
  </si>
  <si>
    <t>jtd</t>
  </si>
  <si>
    <t>ntp_date</t>
  </si>
  <si>
    <t>project_duration_days</t>
  </si>
  <si>
    <t>substantial_completion</t>
  </si>
  <si>
    <t>edition_date</t>
  </si>
  <si>
    <t>TONN-01</t>
  </si>
  <si>
    <t>Tonnelle Avenue Bridge Relocation</t>
  </si>
  <si>
    <t>pkg4</t>
  </si>
  <si>
    <t>Conti Civil LLC.</t>
  </si>
  <si>
    <t>Naik Group</t>
  </si>
  <si>
    <t>Hamed</t>
  </si>
  <si>
    <t>HOW TO USE THIS TEMPLATE</t>
  </si>
  <si>
    <t>Tab 1 Project: fill the blue cells with contract metadata.</t>
  </si>
  <si>
    <t>Tab 2 Risk_Register: fill blue columns. probability/cost/schedule are 1-5 (cost &amp; schedule allow 0).</t>
  </si>
  <si>
    <t>The 4 score columns (cost, schedule, overall, level) are formulas - do not type in them.</t>
  </si>
  <si>
    <t>mitigation_log: write your dated update notes here (e.g. "1/13 - did X. 1/27 - did Y.").</t>
  </si>
  <si>
    <t xml:space="preserve">   The next chat will split this column into a separate Risk_Updates table.</t>
  </si>
  <si>
    <t>Tab 3 Lookups: rating-scale reference + dropdown source. Do not edit unless scales change.</t>
  </si>
  <si>
    <t>Add or delete Risk_Register rows freely - 30 is a starting point, ~25-40 is a good range.</t>
  </si>
  <si>
    <t>risk_id</t>
  </si>
  <si>
    <t>source_ref</t>
  </si>
  <si>
    <t>status</t>
  </si>
  <si>
    <t>risk_category</t>
  </si>
  <si>
    <t>risk_title</t>
  </si>
  <si>
    <t>risk_type</t>
  </si>
  <si>
    <t>probability_score</t>
  </si>
  <si>
    <t>cost_impact_score</t>
  </si>
  <si>
    <t>schedule_impact_score</t>
  </si>
  <si>
    <t>risk_score_cost</t>
  </si>
  <si>
    <t>risk_score_schedule</t>
  </si>
  <si>
    <t>risk_score_overall</t>
  </si>
  <si>
    <t>risk_level</t>
  </si>
  <si>
    <t>risk_entity</t>
  </si>
  <si>
    <t>risk_coordinator</t>
  </si>
  <si>
    <t>mitigation_status</t>
  </si>
  <si>
    <t>next_review_date</t>
  </si>
  <si>
    <t>mitigation_log</t>
  </si>
  <si>
    <t>TONN-CON.01</t>
  </si>
  <si>
    <t>CON.01</t>
  </si>
  <si>
    <t>Open</t>
  </si>
  <si>
    <t>Field Condition</t>
  </si>
  <si>
    <t>Unidentified subsurface obstructions</t>
  </si>
  <si>
    <t>Threat</t>
  </si>
  <si>
    <t>Contractor</t>
  </si>
  <si>
    <t>Anton Benedict</t>
  </si>
  <si>
    <t>Closed</t>
  </si>
  <si>
    <t>9/12 - Obstruction struck during pier excavation; excavation paused. 10/3 - GPR survey completed; abandoned utility identified as the obstruction. 11/14 - Obstruction removed and excavation resumed. 12/5 - Differing site condition documented; risk closed.</t>
  </si>
  <si>
    <t>TONN-CON.02</t>
  </si>
  <si>
    <t>CON.02</t>
  </si>
  <si>
    <t>Environmental</t>
  </si>
  <si>
    <t>Area of Concern 20 free product</t>
  </si>
  <si>
    <t>GDC</t>
  </si>
  <si>
    <t>Joshua Giron</t>
  </si>
  <si>
    <t>TONN-CON.03</t>
  </si>
  <si>
    <t>CON.03</t>
  </si>
  <si>
    <t>Safety</t>
  </si>
  <si>
    <t>Bouncing roadplates</t>
  </si>
  <si>
    <t>CM</t>
  </si>
  <si>
    <t>Justin Hwang</t>
  </si>
  <si>
    <t>Monitoring</t>
  </si>
  <si>
    <t>10/5 - Complaints of bouncing road plates over trench; flagged to contractor. 11/2 - Plates re-bedded and pinned; movement reduced. 2/10 - Periodic reinspection added to weekly walk. 4/28 - No movement at latest inspection; monitoring continues.</t>
  </si>
  <si>
    <t>TONN-CON.04</t>
  </si>
  <si>
    <t>CON.04</t>
  </si>
  <si>
    <t>Sinking inlet on the side of northbound lane</t>
  </si>
  <si>
    <t>10/10 - Settlement observed at inlet on northbound shoulder; monitoring started. 11/18 - Inlet reset and subbase recompacted. 2/15 - Survey readings stable. 5/2 - Settlement monitoring continuing; no further movement.</t>
  </si>
  <si>
    <t>TONN-CON.05</t>
  </si>
  <si>
    <t>CON.05</t>
  </si>
  <si>
    <t>High rock elevation</t>
  </si>
  <si>
    <t>Shared</t>
  </si>
  <si>
    <t>Realized</t>
  </si>
  <si>
    <t>9/8 - Rock encountered well above boring elevations during excavation. 10/15 - Revised excavation method priced; hoe-ram approach evaluated. 12/3 - Rock removal change order executed. 3/10 - Additional rock quantities realized beyond change order; risk realized.</t>
  </si>
  <si>
    <t>TONN-CON.06</t>
  </si>
  <si>
    <t>CON.06</t>
  </si>
  <si>
    <t>Loose timber lagging above workers</t>
  </si>
  <si>
    <t>11/4 - Loose timber lagging identified above work area; zone barricaded. 11/15 - Lagging re-secured and additional walers installed. 2/20 - Lagging added to daily excavation inspection. 5/5 - Condition stable; monitoring continues during ongoing excavation.</t>
  </si>
  <si>
    <t>TONN-CON.07</t>
  </si>
  <si>
    <t>CON.07</t>
  </si>
  <si>
    <t>Construction</t>
  </si>
  <si>
    <t>Delays due to lack of specialty man power</t>
  </si>
  <si>
    <t>9/25 - Specialty crew shortage flagged affecting structural steel work. 10/30 - Contractor secured additional subcontractor support. 2/12 - Crew levels tracked against three-week lookahead. 4/22 - Staffing adequate to date; monitoring continues.</t>
  </si>
  <si>
    <t>TONN-CON.08</t>
  </si>
  <si>
    <t>CON.08</t>
  </si>
  <si>
    <t>Design Change</t>
  </si>
  <si>
    <t>Reroute watermain to avoid structure</t>
  </si>
  <si>
    <t>Designer</t>
  </si>
  <si>
    <t>Vin Pallypis</t>
  </si>
  <si>
    <t>9/15 - Conflict identified between watermain and new foundation. 10/20 - Watermain reroute design issued by designer. 1/12 - Reroute constructed under change order; risk realized.</t>
  </si>
  <si>
    <t>TONN-CON.09</t>
  </si>
  <si>
    <t>CON.09</t>
  </si>
  <si>
    <t>Smell of gas from newly installed gas pipe</t>
  </si>
  <si>
    <t>12/2 - Gas odor reported near newly installed service; area cleared and utility notified. 12/3 - Leak located at fitting and repaired by gas utility. 3/8 - Faint odor reported again; utility re-dispatched. 5/4 - Additional monitoring in place; cause under investigation.</t>
  </si>
  <si>
    <t>TONN-CON.10</t>
  </si>
  <si>
    <t>CON.10</t>
  </si>
  <si>
    <t>Impacts from work occuring on adjacent contracts</t>
  </si>
  <si>
    <t>9/30 - Adjacent contract staging conflicting with site access. 11/8 - Interface coordination meeting held; sequencing agreed. 2/20 - Time extension request submitted for access delays. 4/30 - Request under agency review; interface coordination continuing.</t>
  </si>
  <si>
    <t>TONN-CON.11</t>
  </si>
  <si>
    <t>CON.11</t>
  </si>
  <si>
    <t>Political</t>
  </si>
  <si>
    <t>Government shutdown</t>
  </si>
  <si>
    <t>10/1 - Federal shutdown risk raised; funding exposure assessed. 1/15 - Continuing resolution in effect; no work stoppage to date. 4/22 - Shutdown threat ongoing; contingency stoppage plan maintained.</t>
  </si>
  <si>
    <t>TONN-CON.12</t>
  </si>
  <si>
    <t>CON.12</t>
  </si>
  <si>
    <t>Boulders found in soil excavation</t>
  </si>
  <si>
    <t>1/20 - Boulders encountered slowing mass excavation. 3/5 - Quantities tracked; differing site condition notice submitted. 5/2 - Boulder removal ongoing; cost impact being quantified.</t>
  </si>
  <si>
    <t>TONN-CON.13</t>
  </si>
  <si>
    <t>CON.13</t>
  </si>
  <si>
    <t>Heavy rainfall flooding open excavation</t>
  </si>
  <si>
    <t>2/10 - Open excavation flooded following storm event. 3/18 - Additional pumps and sump capacity added. 5/6 - Dewatering plan in place; monitoring continuing.</t>
  </si>
  <si>
    <t>TONN-CON.14</t>
  </si>
  <si>
    <t>CON.14</t>
  </si>
  <si>
    <t>Potential damage to neighboring property curbs</t>
  </si>
  <si>
    <t>10/12 - Pre-construction curb survey of neighboring property completed. 12/15 - No damage at completion of adjacent work; risk closed.</t>
  </si>
  <si>
    <t>TONN-CON.15</t>
  </si>
  <si>
    <t>CON.15</t>
  </si>
  <si>
    <t>Additional requirements for utility poles</t>
  </si>
  <si>
    <t>11/10 - Utility company added pole relocation requirements. 2/8 - Revised design for pole relocations under review. 4/28 - Awaiting utility company approval of revised design.</t>
  </si>
  <si>
    <t>TONN-CON.16</t>
  </si>
  <si>
    <t>CON.16</t>
  </si>
  <si>
    <t>Delays caused by President cutting federal funding</t>
  </si>
  <si>
    <t>Eric Kautz</t>
  </si>
  <si>
    <t>10/5 - Federal funding reduction announced; project exposure reviewed. 1/20 - Funding confirmed for current phase; later phases under watch. 4/15 - No funding impact to date; monitoring continues.</t>
  </si>
  <si>
    <t>TONN-CON.17</t>
  </si>
  <si>
    <t>CON.17</t>
  </si>
  <si>
    <t>Exceedance of noise levels caused by traffic</t>
  </si>
  <si>
    <t>11/6 - Traffic noise monitoring readings approaching threshold. 2/12 - Readings remain within permitted limits. 5/1 - No exceedance recorded; monitoring continues.</t>
  </si>
  <si>
    <t>TONN-CON.18</t>
  </si>
  <si>
    <t>CON.18</t>
  </si>
  <si>
    <t>Additional requirements for bridge overlay</t>
  </si>
  <si>
    <t>11/22 - Agency requested revised bridge overlay specification. 3/3 - Revised overlay design submitted for review. 5/8 - Awaiting agency review of revised overlay.</t>
  </si>
  <si>
    <t>TONN-CON.19</t>
  </si>
  <si>
    <t>CON.19</t>
  </si>
  <si>
    <t>Coordination issue with utiltiy providers</t>
  </si>
  <si>
    <t>9/28 - Utility coordination delays flagged across multiple providers. 12/14 - Recurring coordination meetings established. 4/10 - Coordination improving; monitoring continues.</t>
  </si>
  <si>
    <t>TONN-CON.20</t>
  </si>
  <si>
    <t>CON.20</t>
  </si>
  <si>
    <t>Discovery of additional contaminated materials</t>
  </si>
  <si>
    <t>10/18 - Suspect contaminated material encountered; sampling ordered. 1/25 - Laboratory classification results pending. 4/20 - Disposal plan being finalized; monitoring continues.</t>
  </si>
  <si>
    <t>TONN-CON.21</t>
  </si>
  <si>
    <t>CON.21</t>
  </si>
  <si>
    <t>Existing conduit for ITS found in damaged condition</t>
  </si>
  <si>
    <t>11/12 - Existing ITS conduit found damaged during exposure. 2/18 - Replacement conduit design issued. 5/5 - Replacement scope being priced; monitoring continues.</t>
  </si>
  <si>
    <t>TONN-CON.22</t>
  </si>
  <si>
    <t>CON.22</t>
  </si>
  <si>
    <t>Bridge pour sequence change</t>
  </si>
  <si>
    <t>Yaseen Arshev</t>
  </si>
  <si>
    <t>12/6 - Bridge pour sequence revision requested for constructability. 3/12 - Revised pour sequence under designer review. 5/10 - Awaiting approval; cost and schedule impact being assessed.</t>
  </si>
  <si>
    <t>TONN-CON.23</t>
  </si>
  <si>
    <t>CON.23</t>
  </si>
  <si>
    <t>Left turn signal out of site has insufficient time</t>
  </si>
  <si>
    <t>11/28 - Left-turn signal timing flagged as insufficient. 3/8 - Revised signal timing proposed to agency. 4/30 - Revised timing under agency review; monitoring continues.</t>
  </si>
  <si>
    <t>TONN-CON.24</t>
  </si>
  <si>
    <t>CON.24</t>
  </si>
  <si>
    <t>Additional reinforcement to structure</t>
  </si>
  <si>
    <t>12/9 - Additional structural reinforcement identified during design review. 3/15 - Revised reinforcement design issued. 5/7 - Cost and schedule impact being quantified.</t>
  </si>
  <si>
    <t>TONN-CON.25</t>
  </si>
  <si>
    <t>CON.25</t>
  </si>
  <si>
    <t>Dropping temperature before milling</t>
  </si>
  <si>
    <t>1/8 - Falling temperatures threatening milling and paving window. 3/20 - Paving rescheduled to favorable temperature window. 5/3 - Weather window confirmed; monitoring continues.</t>
  </si>
  <si>
    <t>TONN-CON.26</t>
  </si>
  <si>
    <t>CON.26</t>
  </si>
  <si>
    <t>Financial</t>
  </si>
  <si>
    <t>Potential overrun for police traffic directors</t>
  </si>
  <si>
    <t>1/14 - Police traffic-director costs trending above estimate. 3/22 - Usage tracked against budget line item. 5/9 - Overrun projected; budget reforecast underway.</t>
  </si>
  <si>
    <t>TONN-CON.27</t>
  </si>
  <si>
    <t>CON.27</t>
  </si>
  <si>
    <t>Equipment close to live traffic</t>
  </si>
  <si>
    <t>12/3 - Equipment operating near live travel lanes flagged. 2/22 - Additional barrier protection and spotter assigned. 5/4 - Controls effective; monitoring continues.</t>
  </si>
  <si>
    <t>TONN-CON.28</t>
  </si>
  <si>
    <t>CON.28</t>
  </si>
  <si>
    <t>Potential overrun of contingency funds</t>
  </si>
  <si>
    <t>9/22 - Contingency drawdown trending high against budget. 11/30 - Contingency reforecast presented to agency. 1/18 - Additional contingency approved; risk closed.</t>
  </si>
  <si>
    <t>TONN-CON.29</t>
  </si>
  <si>
    <t>CON.29</t>
  </si>
  <si>
    <t>Adjacent contractor blocking entrance</t>
  </si>
  <si>
    <t>2/5 - Adjacent contractor staging blocking site entrance. 3/28 - Interface meeting held; access schedule drafted. 5/11 - Access conflict ongoing; escalated to GDC.</t>
  </si>
  <si>
    <t>TONN-CON.30</t>
  </si>
  <si>
    <t>CON.30</t>
  </si>
  <si>
    <t>Delays to closeout due to stakeholder signoffs</t>
  </si>
  <si>
    <t>3/2 - Closeout signoff dependencies identified across stakeholders. 4/14 - Stakeholder signoff tracker created. 5/12 - Signoffs being pursued; closeout schedule monitored.</t>
  </si>
  <si>
    <t>TONN-CON.31</t>
  </si>
  <si>
    <t>CON.31</t>
  </si>
  <si>
    <t>Undocumented hazardous material discovered on site</t>
  </si>
  <si>
    <t>2/24 - Suspect material uncovered during excavation; work area isolated. 3/19 - Samples sent for laboratory characterization. 5/8 - Results pending; disposal approach being scoped.</t>
  </si>
  <si>
    <t>TONN-CON.32</t>
  </si>
  <si>
    <t>CON.32</t>
  </si>
  <si>
    <t>1/30 - Possible artifacts encountered; excavation paused in affected area. 3/12 - State historic preservation office notified. 5/2 - Awaiting SHPO guidance before resuming.</t>
  </si>
  <si>
    <t>TONN-CON.33</t>
  </si>
  <si>
    <t>CON.33</t>
  </si>
  <si>
    <t>Temporary shoring damaged by third party</t>
  </si>
  <si>
    <t>3/26 - Shoring element struck by third-party vehicle. 4/15 - Damage assessed by engineer; temporary bracing added. 5/9 - Permanent repair being scheduled.</t>
  </si>
  <si>
    <t>TONN-CON.34</t>
  </si>
  <si>
    <t>CON.34</t>
  </si>
  <si>
    <t>Concrete delivery shortage during critical pour</t>
  </si>
  <si>
    <t>2/18 - Supplier flagged limited concrete availability for upcoming pour. 4/3 - Backup supplier being qualified. 5/10 - Pour schedule held pending confirmed supply.</t>
  </si>
  <si>
    <t>TONN-CON.35</t>
  </si>
  <si>
    <t>CON.35</t>
  </si>
  <si>
    <t>Survey control point disturbed</t>
  </si>
  <si>
    <t>3/5 - Control point found disturbed during layout check. 4/20 - Re-survey ordered to reestablish control. 5/11 - Re-survey in progress.</t>
  </si>
  <si>
    <t>TONN-CON.36</t>
  </si>
  <si>
    <t>CON.36</t>
  </si>
  <si>
    <t>Permit renewal delay for night work</t>
  </si>
  <si>
    <t>1/22 - Night-work permit renewal application submitted. 3/18 - Agency review extended; renewal not yet issued. 5/6 - Follow-up sent; awaiting issued permit.</t>
  </si>
  <si>
    <t>TONN-CON.37</t>
  </si>
  <si>
    <t>CON.37</t>
  </si>
  <si>
    <t>Material price escalation on structural steel</t>
  </si>
  <si>
    <t>11/15 - Steel quotes trending above estimate. 1/20 - Escalation confirmed on latest supplier pricing. 3/24 - Cost exposure quantified for reforecast. 5/7 - Escalation ongoing; procurement timing under review.</t>
  </si>
  <si>
    <t>scale_type</t>
  </si>
  <si>
    <t>score</t>
  </si>
  <si>
    <t>label</t>
  </si>
  <si>
    <t>range_description</t>
  </si>
  <si>
    <t>category_list</t>
  </si>
  <si>
    <t>entity_list</t>
  </si>
  <si>
    <t>status_list</t>
  </si>
  <si>
    <t>Probability</t>
  </si>
  <si>
    <t>Very Low</t>
  </si>
  <si>
    <t>&lt; 15%</t>
  </si>
  <si>
    <t>Low</t>
  </si>
  <si>
    <t>16% - 40%</t>
  </si>
  <si>
    <t>Medium</t>
  </si>
  <si>
    <t>41% - 60%</t>
  </si>
  <si>
    <t>High</t>
  </si>
  <si>
    <t>61% - 85%</t>
  </si>
  <si>
    <t>Very High</t>
  </si>
  <si>
    <t>&gt; 85%</t>
  </si>
  <si>
    <t>Cost Impact</t>
  </si>
  <si>
    <t>&lt; $250K</t>
  </si>
  <si>
    <t>$250K - $500K</t>
  </si>
  <si>
    <t>$500K - $1M</t>
  </si>
  <si>
    <t>$1M - $2M</t>
  </si>
  <si>
    <t>&gt; $2M</t>
  </si>
  <si>
    <t>Schedule Impact</t>
  </si>
  <si>
    <t>&lt; 1 week</t>
  </si>
  <si>
    <t>1-2 weeks</t>
  </si>
  <si>
    <t>2-4 weeks</t>
  </si>
  <si>
    <t>1-2 months</t>
  </si>
  <si>
    <t>&gt; 2 months</t>
  </si>
  <si>
    <t>Risk Level</t>
  </si>
  <si>
    <t>Score 15-25</t>
  </si>
  <si>
    <t>Score 8-14</t>
  </si>
  <si>
    <t>Score 1-7</t>
  </si>
  <si>
    <t>Additional subsurface structures found halting excavation</t>
  </si>
  <si>
    <t>9/20 - Free product detected at AOC-20 during environmental monitoring. 10/22 - NJDEP notified; remediation plan submitted. 12/8 - Product recovery underway; volume being quantified. 3/14 - Recovery continuing; extent larger than first estimated. 5/6 - Remediation ongoing; cost exposure under review. 5/23 - Test entry from append script smoke text; ignore this entry.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</si>
</sst>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1F3864"/>
      <name val="Arial"/>
      <charset val="1"/>
    </font>
    <font>
      <i/>
      <sz val="9"/>
      <color rgb="FF888888"/>
      <name val="Arial"/>
      <charset val="1"/>
    </font>
    <font>
      <sz val="10"/>
      <name val="Arial"/>
      <charset val="1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165" fontId="2" fillId="0" borderId="2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</cellXfs>
  <cellStyles count="1">
    <cellStyle name="Normal" xfId="0" builtinId="0"/>
  </cellStyles>
  <dxfs count="25">
    <dxf>
      <fill>
        <patternFill>
          <bgColor theme="5" tint="0.79998168889431442"/>
        </patternFill>
      </fill>
    </dxf>
    <dxf>
      <fill>
        <patternFill>
          <bgColor rgb="FFFFEA8F"/>
        </patternFill>
      </fill>
    </dxf>
    <dxf>
      <fill>
        <patternFill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5" formatCode="yyyy\-mm\-dd"/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1F38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A8F"/>
      <color rgb="FFE2B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37F5A-8049-4836-84DD-A3B62E3A0E2A}" name="Table1" displayName="Table1" ref="A1:S38" totalsRowShown="0" headerRowDxfId="24" dataDxfId="22" headerRowBorderDxfId="23">
  <autoFilter ref="A1:S38" xr:uid="{CCE37F5A-8049-4836-84DD-A3B62E3A0E2A}"/>
  <tableColumns count="19">
    <tableColumn id="1" xr3:uid="{0FFB5D49-0339-4F45-9B79-5D013E1F28C1}" name="risk_id" dataDxfId="21"/>
    <tableColumn id="2" xr3:uid="{F523B268-391D-4BDC-8F39-968CF1236EE5}" name="project_id" dataDxfId="20"/>
    <tableColumn id="3" xr3:uid="{B3D16DBC-E543-4380-9A33-EF5BCC2FCFCD}" name="source_ref" dataDxfId="19"/>
    <tableColumn id="4" xr3:uid="{344A648E-B115-4393-9B1E-38CCC7859E17}" name="status" dataDxfId="18"/>
    <tableColumn id="5" xr3:uid="{C76F9758-6CA0-4E9B-99C8-EBA8BE08FF81}" name="risk_category" dataDxfId="17"/>
    <tableColumn id="6" xr3:uid="{7F7182A2-AA8A-4FD5-91BF-F74852D74C87}" name="risk_title" dataDxfId="16"/>
    <tableColumn id="7" xr3:uid="{D26AB811-53FA-4575-B00B-6BAF3C1F6A85}" name="risk_type" dataDxfId="15"/>
    <tableColumn id="8" xr3:uid="{B120DD8C-EF06-41C5-B150-03A833DD6E9F}" name="probability_score" dataDxfId="14"/>
    <tableColumn id="9" xr3:uid="{B984B130-115F-4B5D-8B49-D34B86A26D8F}" name="cost_impact_score" dataDxfId="13"/>
    <tableColumn id="10" xr3:uid="{6A9AD98A-EB18-4B19-9FC6-71BD0632342C}" name="schedule_impact_score" dataDxfId="12"/>
    <tableColumn id="11" xr3:uid="{A7F22895-E373-4423-8D7F-82FA4A9274D9}" name="risk_score_cost" dataDxfId="11">
      <calculatedColumnFormula>H2*I2</calculatedColumnFormula>
    </tableColumn>
    <tableColumn id="12" xr3:uid="{FEBB6EDA-F149-43D0-82F1-93AA129EE5BE}" name="risk_score_schedule" dataDxfId="10">
      <calculatedColumnFormula>H2*J2</calculatedColumnFormula>
    </tableColumn>
    <tableColumn id="13" xr3:uid="{5FB1173D-68CB-426B-8F06-AEC23886BC56}" name="risk_score_overall" dataDxfId="9">
      <calculatedColumnFormula>H2*MAX(I2,J2)</calculatedColumnFormula>
    </tableColumn>
    <tableColumn id="14" xr3:uid="{AFA655EB-8A11-45F0-B86A-078AC2F7C982}" name="risk_level" dataDxfId="8">
      <calculatedColumnFormula>IF(M2&gt;=15,"High",IF(M2&gt;=8,"Medium","Low"))</calculatedColumnFormula>
    </tableColumn>
    <tableColumn id="15" xr3:uid="{ACAAA0B4-2B0A-493F-8199-AB2DD6FD8938}" name="risk_entity" dataDxfId="7"/>
    <tableColumn id="16" xr3:uid="{A521F05B-FED3-49B2-9EE4-B0B89B3D613A}" name="risk_coordinator" dataDxfId="6"/>
    <tableColumn id="17" xr3:uid="{D62CDD01-F934-48CB-A424-CE7698B69398}" name="mitigation_status" dataDxfId="5"/>
    <tableColumn id="18" xr3:uid="{7C120983-3A18-4326-8B83-5263C7AB6DC0}" name="next_review_date" dataDxfId="4"/>
    <tableColumn id="19" xr3:uid="{FA512673-DD6B-43CC-8BE0-513BFE1F0127}" name="mitigation_log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zoomScaleNormal="100" workbookViewId="0">
      <pane ySplit="1" topLeftCell="A2" activePane="bottomLeft" state="frozen"/>
      <selection pane="bottomLeft" activeCell="I6" sqref="I6"/>
    </sheetView>
  </sheetViews>
  <sheetFormatPr defaultColWidth="8.7109375" defaultRowHeight="15" x14ac:dyDescent="0.25"/>
  <cols>
    <col min="1" max="1" width="12" customWidth="1"/>
    <col min="2" max="2" width="34" customWidth="1"/>
    <col min="3" max="3" width="16" customWidth="1"/>
    <col min="4" max="4" width="20" customWidth="1"/>
    <col min="5" max="5" width="18" customWidth="1"/>
    <col min="6" max="6" width="16" customWidth="1"/>
    <col min="7" max="8" width="15" customWidth="1"/>
    <col min="9" max="9" width="13" customWidth="1"/>
    <col min="10" max="10" width="16" customWidth="1"/>
    <col min="11" max="11" width="18" customWidth="1"/>
    <col min="12" max="12" width="16.42578125" customWidth="1"/>
  </cols>
  <sheetData>
    <row r="1" spans="1:12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30000000</v>
      </c>
      <c r="H2" s="3">
        <v>24654293</v>
      </c>
      <c r="I2" s="4"/>
      <c r="J2" s="2"/>
      <c r="K2" s="4"/>
      <c r="L2" s="4"/>
    </row>
    <row r="5" spans="1:12" ht="15" customHeight="1" x14ac:dyDescent="0.25">
      <c r="A5" s="5" t="s">
        <v>18</v>
      </c>
    </row>
    <row r="6" spans="1:12" ht="15" customHeight="1" x14ac:dyDescent="0.25">
      <c r="A6" s="6" t="s">
        <v>19</v>
      </c>
    </row>
    <row r="7" spans="1:12" ht="15" customHeight="1" x14ac:dyDescent="0.25">
      <c r="A7" s="6" t="s">
        <v>20</v>
      </c>
    </row>
    <row r="8" spans="1:12" ht="15" customHeight="1" x14ac:dyDescent="0.25">
      <c r="A8" s="6" t="s">
        <v>21</v>
      </c>
    </row>
    <row r="9" spans="1:12" ht="15" customHeight="1" x14ac:dyDescent="0.25">
      <c r="A9" s="6" t="s">
        <v>22</v>
      </c>
    </row>
    <row r="10" spans="1:12" ht="15" customHeight="1" x14ac:dyDescent="0.25">
      <c r="A10" s="6" t="s">
        <v>23</v>
      </c>
    </row>
    <row r="11" spans="1:12" ht="15" customHeight="1" x14ac:dyDescent="0.25">
      <c r="A11" s="6" t="s">
        <v>24</v>
      </c>
    </row>
    <row r="12" spans="1:12" ht="15" customHeight="1" x14ac:dyDescent="0.25">
      <c r="A12" s="6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1"/>
  <sheetViews>
    <sheetView tabSelected="1" zoomScale="85" zoomScaleNormal="85" workbookViewId="0">
      <pane ySplit="1" topLeftCell="A2" activePane="bottomLeft" state="frozen"/>
      <selection activeCell="E1" sqref="E1"/>
      <selection pane="bottomLeft" activeCell="V3" sqref="V3"/>
    </sheetView>
  </sheetViews>
  <sheetFormatPr defaultColWidth="8.7109375" defaultRowHeight="15" x14ac:dyDescent="0.25"/>
  <cols>
    <col min="1" max="1" width="13.28515625" bestFit="1" customWidth="1"/>
    <col min="2" max="2" width="12.140625" customWidth="1"/>
    <col min="3" max="3" width="12.5703125" customWidth="1"/>
    <col min="4" max="4" width="8.28515625" customWidth="1"/>
    <col min="5" max="5" width="15.5703125" customWidth="1"/>
    <col min="6" max="6" width="44.85546875" customWidth="1"/>
    <col min="7" max="7" width="11.140625" customWidth="1"/>
    <col min="8" max="13" width="12.140625" customWidth="1"/>
    <col min="14" max="14" width="11.7109375" customWidth="1"/>
    <col min="15" max="15" width="16" customWidth="1"/>
    <col min="16" max="16" width="18" customWidth="1"/>
    <col min="17" max="17" width="18.42578125" style="7" customWidth="1"/>
    <col min="18" max="18" width="19.28515625" customWidth="1"/>
    <col min="19" max="19" width="60" customWidth="1"/>
  </cols>
  <sheetData>
    <row r="1" spans="1:19" ht="31.5" customHeight="1" x14ac:dyDescent="0.25">
      <c r="A1" s="8" t="s">
        <v>26</v>
      </c>
      <c r="B1" s="8" t="s">
        <v>0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  <c r="S1" s="8" t="s">
        <v>43</v>
      </c>
    </row>
    <row r="2" spans="1:19" ht="55.5" customHeight="1" x14ac:dyDescent="0.25">
      <c r="A2" s="9" t="s">
        <v>44</v>
      </c>
      <c r="B2" s="9" t="s">
        <v>12</v>
      </c>
      <c r="C2" s="9" t="s">
        <v>45</v>
      </c>
      <c r="D2" s="9" t="s">
        <v>46</v>
      </c>
      <c r="E2" s="9" t="s">
        <v>47</v>
      </c>
      <c r="F2" s="14" t="s">
        <v>48</v>
      </c>
      <c r="G2" s="9" t="s">
        <v>49</v>
      </c>
      <c r="H2" s="9">
        <v>3</v>
      </c>
      <c r="I2" s="9">
        <v>4</v>
      </c>
      <c r="J2" s="9">
        <v>1</v>
      </c>
      <c r="K2" s="10">
        <f t="shared" ref="K2:K38" si="0">H2*I2</f>
        <v>12</v>
      </c>
      <c r="L2" s="10">
        <f t="shared" ref="L2:L38" si="1">H2*J2</f>
        <v>3</v>
      </c>
      <c r="M2" s="10">
        <f t="shared" ref="M2:M38" si="2">H2*MAX(I2,J2)</f>
        <v>12</v>
      </c>
      <c r="N2" s="10" t="str">
        <f t="shared" ref="N2:N38" si="3">IF(M2&gt;=15,"High",IF(M2&gt;=8,"Medium","Low"))</f>
        <v>Medium</v>
      </c>
      <c r="O2" s="9" t="s">
        <v>50</v>
      </c>
      <c r="P2" s="9" t="s">
        <v>51</v>
      </c>
      <c r="Q2" s="9" t="s">
        <v>52</v>
      </c>
      <c r="R2" s="15"/>
      <c r="S2" s="14" t="s">
        <v>53</v>
      </c>
    </row>
    <row r="3" spans="1:19" ht="73.5" customHeight="1" x14ac:dyDescent="0.25">
      <c r="A3" s="9" t="s">
        <v>54</v>
      </c>
      <c r="B3" s="9" t="s">
        <v>12</v>
      </c>
      <c r="C3" s="9" t="s">
        <v>55</v>
      </c>
      <c r="D3" s="9" t="s">
        <v>46</v>
      </c>
      <c r="E3" s="9" t="s">
        <v>56</v>
      </c>
      <c r="F3" s="14" t="s">
        <v>57</v>
      </c>
      <c r="G3" s="9" t="s">
        <v>49</v>
      </c>
      <c r="H3" s="9">
        <v>4</v>
      </c>
      <c r="I3" s="9">
        <v>5</v>
      </c>
      <c r="J3" s="9">
        <v>3</v>
      </c>
      <c r="K3" s="10">
        <f t="shared" si="0"/>
        <v>20</v>
      </c>
      <c r="L3" s="10">
        <f t="shared" si="1"/>
        <v>12</v>
      </c>
      <c r="M3" s="10">
        <f t="shared" si="2"/>
        <v>20</v>
      </c>
      <c r="N3" s="10" t="str">
        <f t="shared" si="3"/>
        <v>High</v>
      </c>
      <c r="O3" s="9" t="s">
        <v>58</v>
      </c>
      <c r="P3" s="9" t="s">
        <v>59</v>
      </c>
      <c r="Q3" s="9" t="s">
        <v>46</v>
      </c>
      <c r="R3" s="15">
        <v>46164</v>
      </c>
      <c r="S3" s="14" t="s">
        <v>248</v>
      </c>
    </row>
    <row r="4" spans="1:19" ht="57.75" customHeight="1" x14ac:dyDescent="0.25">
      <c r="A4" s="9" t="s">
        <v>60</v>
      </c>
      <c r="B4" s="9" t="s">
        <v>12</v>
      </c>
      <c r="C4" s="9" t="s">
        <v>61</v>
      </c>
      <c r="D4" s="9" t="s">
        <v>46</v>
      </c>
      <c r="E4" s="9" t="s">
        <v>62</v>
      </c>
      <c r="F4" s="14" t="s">
        <v>63</v>
      </c>
      <c r="G4" s="9" t="s">
        <v>49</v>
      </c>
      <c r="H4" s="9">
        <v>1</v>
      </c>
      <c r="I4" s="9">
        <v>1</v>
      </c>
      <c r="J4" s="9">
        <v>1</v>
      </c>
      <c r="K4" s="10">
        <f t="shared" si="0"/>
        <v>1</v>
      </c>
      <c r="L4" s="10">
        <f t="shared" si="1"/>
        <v>1</v>
      </c>
      <c r="M4" s="10">
        <f t="shared" si="2"/>
        <v>1</v>
      </c>
      <c r="N4" s="10" t="str">
        <f t="shared" si="3"/>
        <v>Low</v>
      </c>
      <c r="O4" s="9" t="s">
        <v>64</v>
      </c>
      <c r="P4" s="9" t="s">
        <v>65</v>
      </c>
      <c r="Q4" s="9" t="s">
        <v>66</v>
      </c>
      <c r="R4" s="15">
        <v>46164</v>
      </c>
      <c r="S4" s="14" t="s">
        <v>67</v>
      </c>
    </row>
    <row r="5" spans="1:19" ht="57" customHeight="1" x14ac:dyDescent="0.25">
      <c r="A5" s="9" t="s">
        <v>68</v>
      </c>
      <c r="B5" s="9" t="s">
        <v>12</v>
      </c>
      <c r="C5" s="9" t="s">
        <v>69</v>
      </c>
      <c r="D5" s="9" t="s">
        <v>46</v>
      </c>
      <c r="E5" s="9" t="s">
        <v>47</v>
      </c>
      <c r="F5" s="14" t="s">
        <v>70</v>
      </c>
      <c r="G5" s="9" t="s">
        <v>49</v>
      </c>
      <c r="H5" s="9">
        <v>5</v>
      </c>
      <c r="I5" s="9">
        <v>1</v>
      </c>
      <c r="J5" s="9">
        <v>1</v>
      </c>
      <c r="K5" s="10">
        <f t="shared" si="0"/>
        <v>5</v>
      </c>
      <c r="L5" s="10">
        <f t="shared" si="1"/>
        <v>5</v>
      </c>
      <c r="M5" s="10">
        <f t="shared" si="2"/>
        <v>5</v>
      </c>
      <c r="N5" s="10" t="str">
        <f t="shared" si="3"/>
        <v>Low</v>
      </c>
      <c r="O5" s="9" t="s">
        <v>64</v>
      </c>
      <c r="P5" s="9" t="s">
        <v>65</v>
      </c>
      <c r="Q5" s="9" t="s">
        <v>66</v>
      </c>
      <c r="R5" s="15">
        <v>46164</v>
      </c>
      <c r="S5" s="14" t="s">
        <v>71</v>
      </c>
    </row>
    <row r="6" spans="1:19" ht="65.25" customHeight="1" x14ac:dyDescent="0.25">
      <c r="A6" s="9" t="s">
        <v>72</v>
      </c>
      <c r="B6" s="9" t="s">
        <v>12</v>
      </c>
      <c r="C6" s="9" t="s">
        <v>73</v>
      </c>
      <c r="D6" s="9" t="s">
        <v>46</v>
      </c>
      <c r="E6" s="9" t="s">
        <v>47</v>
      </c>
      <c r="F6" s="14" t="s">
        <v>74</v>
      </c>
      <c r="G6" s="9" t="s">
        <v>49</v>
      </c>
      <c r="H6" s="9">
        <v>5</v>
      </c>
      <c r="I6" s="9">
        <v>5</v>
      </c>
      <c r="J6" s="9">
        <v>5</v>
      </c>
      <c r="K6" s="10">
        <f t="shared" si="0"/>
        <v>25</v>
      </c>
      <c r="L6" s="10">
        <f t="shared" si="1"/>
        <v>25</v>
      </c>
      <c r="M6" s="10">
        <f t="shared" si="2"/>
        <v>25</v>
      </c>
      <c r="N6" s="10" t="str">
        <f t="shared" si="3"/>
        <v>High</v>
      </c>
      <c r="O6" s="9" t="s">
        <v>75</v>
      </c>
      <c r="P6" s="9" t="s">
        <v>65</v>
      </c>
      <c r="Q6" s="9" t="s">
        <v>76</v>
      </c>
      <c r="R6" s="15">
        <v>46164</v>
      </c>
      <c r="S6" s="14" t="s">
        <v>77</v>
      </c>
    </row>
    <row r="7" spans="1:19" ht="60" customHeight="1" x14ac:dyDescent="0.25">
      <c r="A7" s="9" t="s">
        <v>78</v>
      </c>
      <c r="B7" s="9" t="s">
        <v>12</v>
      </c>
      <c r="C7" s="9" t="s">
        <v>79</v>
      </c>
      <c r="D7" s="9" t="s">
        <v>46</v>
      </c>
      <c r="E7" s="9" t="s">
        <v>62</v>
      </c>
      <c r="F7" s="14" t="s">
        <v>80</v>
      </c>
      <c r="G7" s="9" t="s">
        <v>49</v>
      </c>
      <c r="H7" s="9">
        <v>5</v>
      </c>
      <c r="I7" s="9">
        <v>1</v>
      </c>
      <c r="J7" s="9">
        <v>1</v>
      </c>
      <c r="K7" s="10">
        <f t="shared" si="0"/>
        <v>5</v>
      </c>
      <c r="L7" s="10">
        <f t="shared" si="1"/>
        <v>5</v>
      </c>
      <c r="M7" s="10">
        <f t="shared" si="2"/>
        <v>5</v>
      </c>
      <c r="N7" s="10" t="str">
        <f t="shared" si="3"/>
        <v>Low</v>
      </c>
      <c r="O7" s="9" t="s">
        <v>50</v>
      </c>
      <c r="P7" s="9" t="s">
        <v>51</v>
      </c>
      <c r="Q7" s="9" t="s">
        <v>66</v>
      </c>
      <c r="R7" s="15">
        <v>46164</v>
      </c>
      <c r="S7" s="14" t="s">
        <v>81</v>
      </c>
    </row>
    <row r="8" spans="1:19" ht="57" customHeight="1" x14ac:dyDescent="0.25">
      <c r="A8" s="9" t="s">
        <v>82</v>
      </c>
      <c r="B8" s="9" t="s">
        <v>12</v>
      </c>
      <c r="C8" s="9" t="s">
        <v>83</v>
      </c>
      <c r="D8" s="9" t="s">
        <v>46</v>
      </c>
      <c r="E8" s="9" t="s">
        <v>84</v>
      </c>
      <c r="F8" s="14" t="s">
        <v>85</v>
      </c>
      <c r="G8" s="9" t="s">
        <v>49</v>
      </c>
      <c r="H8" s="9">
        <v>3</v>
      </c>
      <c r="I8" s="9">
        <v>3</v>
      </c>
      <c r="J8" s="9">
        <v>3</v>
      </c>
      <c r="K8" s="10">
        <f t="shared" si="0"/>
        <v>9</v>
      </c>
      <c r="L8" s="10">
        <f t="shared" si="1"/>
        <v>9</v>
      </c>
      <c r="M8" s="10">
        <f t="shared" si="2"/>
        <v>9</v>
      </c>
      <c r="N8" s="10" t="str">
        <f t="shared" si="3"/>
        <v>Medium</v>
      </c>
      <c r="O8" s="9" t="s">
        <v>50</v>
      </c>
      <c r="P8" s="9" t="s">
        <v>51</v>
      </c>
      <c r="Q8" s="9" t="s">
        <v>66</v>
      </c>
      <c r="R8" s="15">
        <v>46164</v>
      </c>
      <c r="S8" s="14" t="s">
        <v>86</v>
      </c>
    </row>
    <row r="9" spans="1:19" ht="48" customHeight="1" x14ac:dyDescent="0.25">
      <c r="A9" s="9" t="s">
        <v>87</v>
      </c>
      <c r="B9" s="9" t="s">
        <v>12</v>
      </c>
      <c r="C9" s="9" t="s">
        <v>88</v>
      </c>
      <c r="D9" s="9" t="s">
        <v>46</v>
      </c>
      <c r="E9" s="9" t="s">
        <v>89</v>
      </c>
      <c r="F9" s="14" t="s">
        <v>90</v>
      </c>
      <c r="G9" s="9" t="s">
        <v>49</v>
      </c>
      <c r="H9" s="9">
        <v>1</v>
      </c>
      <c r="I9" s="9">
        <v>2</v>
      </c>
      <c r="J9" s="9">
        <v>2</v>
      </c>
      <c r="K9" s="10">
        <f t="shared" si="0"/>
        <v>2</v>
      </c>
      <c r="L9" s="10">
        <f t="shared" si="1"/>
        <v>2</v>
      </c>
      <c r="M9" s="10">
        <f t="shared" si="2"/>
        <v>2</v>
      </c>
      <c r="N9" s="10" t="str">
        <f t="shared" si="3"/>
        <v>Low</v>
      </c>
      <c r="O9" s="9" t="s">
        <v>91</v>
      </c>
      <c r="P9" s="9" t="s">
        <v>92</v>
      </c>
      <c r="Q9" s="9" t="s">
        <v>76</v>
      </c>
      <c r="R9" s="15">
        <v>46164</v>
      </c>
      <c r="S9" s="14" t="s">
        <v>93</v>
      </c>
    </row>
    <row r="10" spans="1:19" ht="55.5" customHeight="1" x14ac:dyDescent="0.25">
      <c r="A10" s="9" t="s">
        <v>94</v>
      </c>
      <c r="B10" s="9" t="s">
        <v>12</v>
      </c>
      <c r="C10" s="9" t="s">
        <v>95</v>
      </c>
      <c r="D10" s="9" t="s">
        <v>46</v>
      </c>
      <c r="E10" s="9" t="s">
        <v>62</v>
      </c>
      <c r="F10" s="14" t="s">
        <v>96</v>
      </c>
      <c r="G10" s="9" t="s">
        <v>49</v>
      </c>
      <c r="H10" s="9">
        <v>1</v>
      </c>
      <c r="I10" s="9">
        <v>3</v>
      </c>
      <c r="J10" s="9">
        <v>3</v>
      </c>
      <c r="K10" s="10">
        <f t="shared" si="0"/>
        <v>3</v>
      </c>
      <c r="L10" s="10">
        <f t="shared" si="1"/>
        <v>3</v>
      </c>
      <c r="M10" s="10">
        <f t="shared" si="2"/>
        <v>3</v>
      </c>
      <c r="N10" s="10" t="str">
        <f t="shared" si="3"/>
        <v>Low</v>
      </c>
      <c r="O10" s="9" t="s">
        <v>58</v>
      </c>
      <c r="P10" s="9" t="s">
        <v>59</v>
      </c>
      <c r="Q10" s="9" t="s">
        <v>46</v>
      </c>
      <c r="R10" s="15">
        <v>46164</v>
      </c>
      <c r="S10" s="14" t="s">
        <v>97</v>
      </c>
    </row>
    <row r="11" spans="1:19" ht="57" customHeight="1" x14ac:dyDescent="0.25">
      <c r="A11" s="9" t="s">
        <v>98</v>
      </c>
      <c r="B11" s="9" t="s">
        <v>12</v>
      </c>
      <c r="C11" s="9" t="s">
        <v>99</v>
      </c>
      <c r="D11" s="9" t="s">
        <v>46</v>
      </c>
      <c r="E11" s="9" t="s">
        <v>84</v>
      </c>
      <c r="F11" s="14" t="s">
        <v>100</v>
      </c>
      <c r="G11" s="9" t="s">
        <v>49</v>
      </c>
      <c r="H11" s="9">
        <v>4</v>
      </c>
      <c r="I11" s="9">
        <v>3</v>
      </c>
      <c r="J11" s="9">
        <v>4</v>
      </c>
      <c r="K11" s="10">
        <f t="shared" si="0"/>
        <v>12</v>
      </c>
      <c r="L11" s="10">
        <f t="shared" si="1"/>
        <v>16</v>
      </c>
      <c r="M11" s="10">
        <f t="shared" si="2"/>
        <v>16</v>
      </c>
      <c r="N11" s="10" t="str">
        <f t="shared" si="3"/>
        <v>High</v>
      </c>
      <c r="O11" s="9" t="s">
        <v>58</v>
      </c>
      <c r="P11" s="9" t="s">
        <v>59</v>
      </c>
      <c r="Q11" s="9" t="s">
        <v>66</v>
      </c>
      <c r="R11" s="15">
        <v>46164</v>
      </c>
      <c r="S11" s="14" t="s">
        <v>101</v>
      </c>
    </row>
    <row r="12" spans="1:19" ht="46.5" customHeight="1" x14ac:dyDescent="0.25">
      <c r="A12" s="9" t="s">
        <v>102</v>
      </c>
      <c r="B12" s="9" t="s">
        <v>12</v>
      </c>
      <c r="C12" s="9" t="s">
        <v>103</v>
      </c>
      <c r="D12" s="9" t="s">
        <v>46</v>
      </c>
      <c r="E12" s="9" t="s">
        <v>104</v>
      </c>
      <c r="F12" s="14" t="s">
        <v>105</v>
      </c>
      <c r="G12" s="9" t="s">
        <v>49</v>
      </c>
      <c r="H12" s="9">
        <v>5</v>
      </c>
      <c r="I12" s="9">
        <v>5</v>
      </c>
      <c r="J12" s="9">
        <v>5</v>
      </c>
      <c r="K12" s="10">
        <f t="shared" si="0"/>
        <v>25</v>
      </c>
      <c r="L12" s="10">
        <f t="shared" si="1"/>
        <v>25</v>
      </c>
      <c r="M12" s="10">
        <f t="shared" si="2"/>
        <v>25</v>
      </c>
      <c r="N12" s="10" t="str">
        <f t="shared" si="3"/>
        <v>High</v>
      </c>
      <c r="O12" s="9" t="s">
        <v>58</v>
      </c>
      <c r="P12" s="9" t="s">
        <v>59</v>
      </c>
      <c r="Q12" s="9" t="s">
        <v>46</v>
      </c>
      <c r="R12" s="15">
        <v>46164</v>
      </c>
      <c r="S12" s="14" t="s">
        <v>106</v>
      </c>
    </row>
    <row r="13" spans="1:19" ht="47.25" customHeight="1" x14ac:dyDescent="0.25">
      <c r="A13" s="9" t="s">
        <v>107</v>
      </c>
      <c r="B13" s="9" t="s">
        <v>12</v>
      </c>
      <c r="C13" s="9" t="s">
        <v>108</v>
      </c>
      <c r="D13" s="9" t="s">
        <v>46</v>
      </c>
      <c r="E13" s="9" t="s">
        <v>47</v>
      </c>
      <c r="F13" s="14" t="s">
        <v>109</v>
      </c>
      <c r="G13" s="9" t="s">
        <v>49</v>
      </c>
      <c r="H13" s="9">
        <v>5</v>
      </c>
      <c r="I13" s="9">
        <v>3</v>
      </c>
      <c r="J13" s="9">
        <v>3</v>
      </c>
      <c r="K13" s="10">
        <f t="shared" si="0"/>
        <v>15</v>
      </c>
      <c r="L13" s="10">
        <f t="shared" si="1"/>
        <v>15</v>
      </c>
      <c r="M13" s="10">
        <f t="shared" si="2"/>
        <v>15</v>
      </c>
      <c r="N13" s="10" t="str">
        <f t="shared" si="3"/>
        <v>High</v>
      </c>
      <c r="O13" s="9" t="s">
        <v>50</v>
      </c>
      <c r="P13" s="9" t="s">
        <v>51</v>
      </c>
      <c r="Q13" s="9" t="s">
        <v>46</v>
      </c>
      <c r="R13" s="15">
        <v>46164</v>
      </c>
      <c r="S13" s="14" t="s">
        <v>110</v>
      </c>
    </row>
    <row r="14" spans="1:19" ht="50.25" customHeight="1" x14ac:dyDescent="0.25">
      <c r="A14" s="9" t="s">
        <v>111</v>
      </c>
      <c r="B14" s="9" t="s">
        <v>12</v>
      </c>
      <c r="C14" s="9" t="s">
        <v>112</v>
      </c>
      <c r="D14" s="9" t="s">
        <v>46</v>
      </c>
      <c r="E14" s="9" t="s">
        <v>47</v>
      </c>
      <c r="F14" s="14" t="s">
        <v>113</v>
      </c>
      <c r="G14" s="9" t="s">
        <v>49</v>
      </c>
      <c r="H14" s="9">
        <v>5</v>
      </c>
      <c r="I14" s="9">
        <v>2</v>
      </c>
      <c r="J14" s="9">
        <v>1</v>
      </c>
      <c r="K14" s="10">
        <f t="shared" si="0"/>
        <v>10</v>
      </c>
      <c r="L14" s="10">
        <f t="shared" si="1"/>
        <v>5</v>
      </c>
      <c r="M14" s="10">
        <f t="shared" si="2"/>
        <v>10</v>
      </c>
      <c r="N14" s="10" t="str">
        <f t="shared" si="3"/>
        <v>Medium</v>
      </c>
      <c r="O14" s="9" t="s">
        <v>50</v>
      </c>
      <c r="P14" s="9" t="s">
        <v>51</v>
      </c>
      <c r="Q14" s="9" t="s">
        <v>46</v>
      </c>
      <c r="R14" s="15">
        <v>46164</v>
      </c>
      <c r="S14" s="14" t="s">
        <v>114</v>
      </c>
    </row>
    <row r="15" spans="1:19" ht="38.25" x14ac:dyDescent="0.25">
      <c r="A15" s="9" t="s">
        <v>115</v>
      </c>
      <c r="B15" s="9" t="s">
        <v>12</v>
      </c>
      <c r="C15" s="9" t="s">
        <v>116</v>
      </c>
      <c r="D15" s="9" t="s">
        <v>46</v>
      </c>
      <c r="E15" s="9" t="s">
        <v>84</v>
      </c>
      <c r="F15" s="14" t="s">
        <v>117</v>
      </c>
      <c r="G15" s="9" t="s">
        <v>49</v>
      </c>
      <c r="H15" s="9">
        <v>4</v>
      </c>
      <c r="I15" s="9">
        <v>1</v>
      </c>
      <c r="J15" s="9">
        <v>1</v>
      </c>
      <c r="K15" s="10">
        <f t="shared" si="0"/>
        <v>4</v>
      </c>
      <c r="L15" s="10">
        <f t="shared" si="1"/>
        <v>4</v>
      </c>
      <c r="M15" s="10">
        <f t="shared" si="2"/>
        <v>4</v>
      </c>
      <c r="N15" s="10" t="str">
        <f t="shared" si="3"/>
        <v>Low</v>
      </c>
      <c r="O15" s="9" t="s">
        <v>50</v>
      </c>
      <c r="P15" s="9" t="s">
        <v>51</v>
      </c>
      <c r="Q15" s="9" t="s">
        <v>52</v>
      </c>
      <c r="R15" s="15"/>
      <c r="S15" s="14" t="s">
        <v>118</v>
      </c>
    </row>
    <row r="16" spans="1:19" ht="48" customHeight="1" x14ac:dyDescent="0.25">
      <c r="A16" s="9" t="s">
        <v>119</v>
      </c>
      <c r="B16" s="9" t="s">
        <v>12</v>
      </c>
      <c r="C16" s="9" t="s">
        <v>120</v>
      </c>
      <c r="D16" s="9" t="s">
        <v>46</v>
      </c>
      <c r="E16" s="9" t="s">
        <v>89</v>
      </c>
      <c r="F16" s="14" t="s">
        <v>121</v>
      </c>
      <c r="G16" s="9" t="s">
        <v>49</v>
      </c>
      <c r="H16" s="9">
        <v>5</v>
      </c>
      <c r="I16" s="9">
        <v>2</v>
      </c>
      <c r="J16" s="9">
        <v>1</v>
      </c>
      <c r="K16" s="10">
        <f t="shared" si="0"/>
        <v>10</v>
      </c>
      <c r="L16" s="10">
        <f t="shared" si="1"/>
        <v>5</v>
      </c>
      <c r="M16" s="10">
        <f t="shared" si="2"/>
        <v>10</v>
      </c>
      <c r="N16" s="10" t="str">
        <f t="shared" si="3"/>
        <v>Medium</v>
      </c>
      <c r="O16" s="9" t="s">
        <v>91</v>
      </c>
      <c r="P16" s="9" t="s">
        <v>92</v>
      </c>
      <c r="Q16" s="9" t="s">
        <v>46</v>
      </c>
      <c r="R16" s="15">
        <v>46164</v>
      </c>
      <c r="S16" s="14" t="s">
        <v>122</v>
      </c>
    </row>
    <row r="17" spans="1:19" ht="48" customHeight="1" x14ac:dyDescent="0.25">
      <c r="A17" s="9" t="s">
        <v>123</v>
      </c>
      <c r="B17" s="9" t="s">
        <v>12</v>
      </c>
      <c r="C17" s="9" t="s">
        <v>124</v>
      </c>
      <c r="D17" s="9" t="s">
        <v>46</v>
      </c>
      <c r="E17" s="9" t="s">
        <v>104</v>
      </c>
      <c r="F17" s="14" t="s">
        <v>125</v>
      </c>
      <c r="G17" s="9" t="s">
        <v>49</v>
      </c>
      <c r="H17" s="9">
        <v>3</v>
      </c>
      <c r="I17" s="9">
        <v>5</v>
      </c>
      <c r="J17" s="9">
        <v>5</v>
      </c>
      <c r="K17" s="10">
        <f t="shared" si="0"/>
        <v>15</v>
      </c>
      <c r="L17" s="10">
        <f t="shared" si="1"/>
        <v>15</v>
      </c>
      <c r="M17" s="10">
        <f t="shared" si="2"/>
        <v>15</v>
      </c>
      <c r="N17" s="10" t="str">
        <f t="shared" si="3"/>
        <v>High</v>
      </c>
      <c r="O17" s="9" t="s">
        <v>75</v>
      </c>
      <c r="P17" s="9" t="s">
        <v>126</v>
      </c>
      <c r="Q17" s="9" t="s">
        <v>66</v>
      </c>
      <c r="R17" s="15">
        <v>46164</v>
      </c>
      <c r="S17" s="14" t="s">
        <v>127</v>
      </c>
    </row>
    <row r="18" spans="1:19" ht="46.5" customHeight="1" x14ac:dyDescent="0.25">
      <c r="A18" s="9" t="s">
        <v>128</v>
      </c>
      <c r="B18" s="9" t="s">
        <v>12</v>
      </c>
      <c r="C18" s="9" t="s">
        <v>129</v>
      </c>
      <c r="D18" s="9" t="s">
        <v>46</v>
      </c>
      <c r="E18" s="9" t="s">
        <v>62</v>
      </c>
      <c r="F18" s="14" t="s">
        <v>130</v>
      </c>
      <c r="G18" s="9" t="s">
        <v>49</v>
      </c>
      <c r="H18" s="9">
        <v>3</v>
      </c>
      <c r="I18" s="9">
        <v>1</v>
      </c>
      <c r="J18" s="9">
        <v>1</v>
      </c>
      <c r="K18" s="10">
        <f t="shared" si="0"/>
        <v>3</v>
      </c>
      <c r="L18" s="10">
        <f t="shared" si="1"/>
        <v>3</v>
      </c>
      <c r="M18" s="10">
        <f t="shared" si="2"/>
        <v>3</v>
      </c>
      <c r="N18" s="10" t="str">
        <f t="shared" si="3"/>
        <v>Low</v>
      </c>
      <c r="O18" s="9" t="s">
        <v>75</v>
      </c>
      <c r="P18" s="9" t="s">
        <v>126</v>
      </c>
      <c r="Q18" s="9" t="s">
        <v>66</v>
      </c>
      <c r="R18" s="15">
        <v>46164</v>
      </c>
      <c r="S18" s="14" t="s">
        <v>131</v>
      </c>
    </row>
    <row r="19" spans="1:19" ht="38.25" x14ac:dyDescent="0.25">
      <c r="A19" s="9" t="s">
        <v>132</v>
      </c>
      <c r="B19" s="9" t="s">
        <v>12</v>
      </c>
      <c r="C19" s="9" t="s">
        <v>133</v>
      </c>
      <c r="D19" s="9" t="s">
        <v>46</v>
      </c>
      <c r="E19" s="9" t="s">
        <v>89</v>
      </c>
      <c r="F19" s="14" t="s">
        <v>134</v>
      </c>
      <c r="G19" s="9" t="s">
        <v>49</v>
      </c>
      <c r="H19" s="9">
        <v>3</v>
      </c>
      <c r="I19" s="9">
        <v>4</v>
      </c>
      <c r="J19" s="9">
        <v>5</v>
      </c>
      <c r="K19" s="10">
        <f t="shared" si="0"/>
        <v>12</v>
      </c>
      <c r="L19" s="10">
        <f t="shared" si="1"/>
        <v>15</v>
      </c>
      <c r="M19" s="10">
        <f t="shared" si="2"/>
        <v>15</v>
      </c>
      <c r="N19" s="10" t="str">
        <f t="shared" si="3"/>
        <v>High</v>
      </c>
      <c r="O19" s="9" t="s">
        <v>91</v>
      </c>
      <c r="P19" s="9" t="s">
        <v>92</v>
      </c>
      <c r="Q19" s="9" t="s">
        <v>46</v>
      </c>
      <c r="R19" s="15">
        <v>46164</v>
      </c>
      <c r="S19" s="14" t="s">
        <v>135</v>
      </c>
    </row>
    <row r="20" spans="1:19" ht="38.25" x14ac:dyDescent="0.25">
      <c r="A20" s="9" t="s">
        <v>136</v>
      </c>
      <c r="B20" s="9" t="s">
        <v>12</v>
      </c>
      <c r="C20" s="9" t="s">
        <v>137</v>
      </c>
      <c r="D20" s="9" t="s">
        <v>46</v>
      </c>
      <c r="E20" s="9" t="s">
        <v>84</v>
      </c>
      <c r="F20" s="14" t="s">
        <v>138</v>
      </c>
      <c r="G20" s="9" t="s">
        <v>49</v>
      </c>
      <c r="H20" s="9">
        <v>2</v>
      </c>
      <c r="I20" s="9">
        <v>3</v>
      </c>
      <c r="J20" s="9">
        <v>3</v>
      </c>
      <c r="K20" s="10">
        <f t="shared" si="0"/>
        <v>6</v>
      </c>
      <c r="L20" s="10">
        <f t="shared" si="1"/>
        <v>6</v>
      </c>
      <c r="M20" s="10">
        <f t="shared" si="2"/>
        <v>6</v>
      </c>
      <c r="N20" s="10" t="str">
        <f t="shared" si="3"/>
        <v>Low</v>
      </c>
      <c r="O20" s="9" t="s">
        <v>50</v>
      </c>
      <c r="P20" s="9" t="s">
        <v>51</v>
      </c>
      <c r="Q20" s="9" t="s">
        <v>66</v>
      </c>
      <c r="R20" s="15">
        <v>46164</v>
      </c>
      <c r="S20" s="14" t="s">
        <v>139</v>
      </c>
    </row>
    <row r="21" spans="1:19" ht="38.25" x14ac:dyDescent="0.25">
      <c r="A21" s="9" t="s">
        <v>140</v>
      </c>
      <c r="B21" s="9" t="s">
        <v>12</v>
      </c>
      <c r="C21" s="9" t="s">
        <v>141</v>
      </c>
      <c r="D21" s="9" t="s">
        <v>46</v>
      </c>
      <c r="E21" s="9" t="s">
        <v>84</v>
      </c>
      <c r="F21" s="14" t="s">
        <v>142</v>
      </c>
      <c r="G21" s="9" t="s">
        <v>49</v>
      </c>
      <c r="H21" s="9">
        <v>2</v>
      </c>
      <c r="I21" s="9">
        <v>2</v>
      </c>
      <c r="J21" s="9">
        <v>5</v>
      </c>
      <c r="K21" s="10">
        <f t="shared" si="0"/>
        <v>4</v>
      </c>
      <c r="L21" s="10">
        <f t="shared" si="1"/>
        <v>10</v>
      </c>
      <c r="M21" s="10">
        <f t="shared" si="2"/>
        <v>10</v>
      </c>
      <c r="N21" s="10" t="str">
        <f t="shared" si="3"/>
        <v>Medium</v>
      </c>
      <c r="O21" s="9" t="s">
        <v>64</v>
      </c>
      <c r="P21" s="9" t="s">
        <v>126</v>
      </c>
      <c r="Q21" s="9" t="s">
        <v>66</v>
      </c>
      <c r="R21" s="15">
        <v>46164</v>
      </c>
      <c r="S21" s="14" t="s">
        <v>143</v>
      </c>
    </row>
    <row r="22" spans="1:19" ht="38.25" x14ac:dyDescent="0.25">
      <c r="A22" s="9" t="s">
        <v>144</v>
      </c>
      <c r="B22" s="9" t="s">
        <v>12</v>
      </c>
      <c r="C22" s="9" t="s">
        <v>145</v>
      </c>
      <c r="D22" s="9" t="s">
        <v>46</v>
      </c>
      <c r="E22" s="9" t="s">
        <v>89</v>
      </c>
      <c r="F22" s="14" t="s">
        <v>146</v>
      </c>
      <c r="G22" s="9" t="s">
        <v>49</v>
      </c>
      <c r="H22" s="9">
        <v>5</v>
      </c>
      <c r="I22" s="9">
        <v>5</v>
      </c>
      <c r="J22" s="9">
        <v>2</v>
      </c>
      <c r="K22" s="10">
        <f t="shared" si="0"/>
        <v>25</v>
      </c>
      <c r="L22" s="10">
        <f t="shared" si="1"/>
        <v>10</v>
      </c>
      <c r="M22" s="10">
        <f t="shared" si="2"/>
        <v>25</v>
      </c>
      <c r="N22" s="10" t="str">
        <f t="shared" si="3"/>
        <v>High</v>
      </c>
      <c r="O22" s="9" t="s">
        <v>50</v>
      </c>
      <c r="P22" s="9" t="s">
        <v>51</v>
      </c>
      <c r="Q22" s="9" t="s">
        <v>66</v>
      </c>
      <c r="R22" s="15">
        <v>46164</v>
      </c>
      <c r="S22" s="14" t="s">
        <v>147</v>
      </c>
    </row>
    <row r="23" spans="1:19" ht="38.25" x14ac:dyDescent="0.25">
      <c r="A23" s="9" t="s">
        <v>148</v>
      </c>
      <c r="B23" s="9" t="s">
        <v>12</v>
      </c>
      <c r="C23" s="9" t="s">
        <v>149</v>
      </c>
      <c r="D23" s="9" t="s">
        <v>46</v>
      </c>
      <c r="E23" s="9" t="s">
        <v>89</v>
      </c>
      <c r="F23" s="14" t="s">
        <v>150</v>
      </c>
      <c r="G23" s="9" t="s">
        <v>49</v>
      </c>
      <c r="H23" s="9">
        <v>5</v>
      </c>
      <c r="I23" s="9">
        <v>5</v>
      </c>
      <c r="J23" s="9">
        <v>1</v>
      </c>
      <c r="K23" s="10">
        <f t="shared" si="0"/>
        <v>25</v>
      </c>
      <c r="L23" s="10">
        <f t="shared" si="1"/>
        <v>5</v>
      </c>
      <c r="M23" s="10">
        <f t="shared" si="2"/>
        <v>25</v>
      </c>
      <c r="N23" s="10" t="str">
        <f t="shared" si="3"/>
        <v>High</v>
      </c>
      <c r="O23" s="9" t="s">
        <v>91</v>
      </c>
      <c r="P23" s="9" t="s">
        <v>151</v>
      </c>
      <c r="Q23" s="9" t="s">
        <v>46</v>
      </c>
      <c r="R23" s="15">
        <v>46164</v>
      </c>
      <c r="S23" s="14" t="s">
        <v>152</v>
      </c>
    </row>
    <row r="24" spans="1:19" ht="38.25" x14ac:dyDescent="0.25">
      <c r="A24" s="9" t="s">
        <v>153</v>
      </c>
      <c r="B24" s="9" t="s">
        <v>12</v>
      </c>
      <c r="C24" s="9" t="s">
        <v>154</v>
      </c>
      <c r="D24" s="9" t="s">
        <v>46</v>
      </c>
      <c r="E24" s="9" t="s">
        <v>89</v>
      </c>
      <c r="F24" s="14" t="s">
        <v>155</v>
      </c>
      <c r="G24" s="9" t="s">
        <v>49</v>
      </c>
      <c r="H24" s="9">
        <v>4</v>
      </c>
      <c r="I24" s="9">
        <v>2</v>
      </c>
      <c r="J24" s="9">
        <v>2</v>
      </c>
      <c r="K24" s="10">
        <f t="shared" si="0"/>
        <v>8</v>
      </c>
      <c r="L24" s="10">
        <f t="shared" si="1"/>
        <v>8</v>
      </c>
      <c r="M24" s="10">
        <f t="shared" si="2"/>
        <v>8</v>
      </c>
      <c r="N24" s="10" t="str">
        <f t="shared" si="3"/>
        <v>Medium</v>
      </c>
      <c r="O24" s="9" t="s">
        <v>91</v>
      </c>
      <c r="P24" s="9" t="s">
        <v>151</v>
      </c>
      <c r="Q24" s="9" t="s">
        <v>66</v>
      </c>
      <c r="R24" s="15">
        <v>46164</v>
      </c>
      <c r="S24" s="14" t="s">
        <v>156</v>
      </c>
    </row>
    <row r="25" spans="1:19" ht="38.25" x14ac:dyDescent="0.25">
      <c r="A25" s="9" t="s">
        <v>157</v>
      </c>
      <c r="B25" s="9" t="s">
        <v>12</v>
      </c>
      <c r="C25" s="9" t="s">
        <v>158</v>
      </c>
      <c r="D25" s="9" t="s">
        <v>46</v>
      </c>
      <c r="E25" s="9" t="s">
        <v>89</v>
      </c>
      <c r="F25" s="14" t="s">
        <v>159</v>
      </c>
      <c r="G25" s="9" t="s">
        <v>49</v>
      </c>
      <c r="H25" s="9">
        <v>5</v>
      </c>
      <c r="I25" s="9">
        <v>4</v>
      </c>
      <c r="J25" s="9">
        <v>2</v>
      </c>
      <c r="K25" s="10">
        <f t="shared" si="0"/>
        <v>20</v>
      </c>
      <c r="L25" s="10">
        <f t="shared" si="1"/>
        <v>10</v>
      </c>
      <c r="M25" s="10">
        <f t="shared" si="2"/>
        <v>20</v>
      </c>
      <c r="N25" s="10" t="str">
        <f t="shared" si="3"/>
        <v>High</v>
      </c>
      <c r="O25" s="9" t="s">
        <v>91</v>
      </c>
      <c r="P25" s="9" t="s">
        <v>151</v>
      </c>
      <c r="Q25" s="9" t="s">
        <v>46</v>
      </c>
      <c r="R25" s="15">
        <v>46164</v>
      </c>
      <c r="S25" s="14" t="s">
        <v>160</v>
      </c>
    </row>
    <row r="26" spans="1:19" ht="38.25" x14ac:dyDescent="0.25">
      <c r="A26" s="9" t="s">
        <v>161</v>
      </c>
      <c r="B26" s="9" t="s">
        <v>12</v>
      </c>
      <c r="C26" s="9" t="s">
        <v>162</v>
      </c>
      <c r="D26" s="9" t="s">
        <v>46</v>
      </c>
      <c r="E26" s="9" t="s">
        <v>84</v>
      </c>
      <c r="F26" s="14" t="s">
        <v>163</v>
      </c>
      <c r="G26" s="9" t="s">
        <v>49</v>
      </c>
      <c r="H26" s="9">
        <v>2</v>
      </c>
      <c r="I26" s="9">
        <v>2</v>
      </c>
      <c r="J26" s="9">
        <v>5</v>
      </c>
      <c r="K26" s="10">
        <f t="shared" si="0"/>
        <v>4</v>
      </c>
      <c r="L26" s="10">
        <f t="shared" si="1"/>
        <v>10</v>
      </c>
      <c r="M26" s="10">
        <f t="shared" si="2"/>
        <v>10</v>
      </c>
      <c r="N26" s="10" t="str">
        <f t="shared" si="3"/>
        <v>Medium</v>
      </c>
      <c r="O26" s="9" t="s">
        <v>75</v>
      </c>
      <c r="P26" s="9" t="s">
        <v>65</v>
      </c>
      <c r="Q26" s="9" t="s">
        <v>66</v>
      </c>
      <c r="R26" s="15">
        <v>46164</v>
      </c>
      <c r="S26" s="14" t="s">
        <v>164</v>
      </c>
    </row>
    <row r="27" spans="1:19" ht="38.25" x14ac:dyDescent="0.25">
      <c r="A27" s="9" t="s">
        <v>165</v>
      </c>
      <c r="B27" s="9" t="s">
        <v>12</v>
      </c>
      <c r="C27" s="9" t="s">
        <v>166</v>
      </c>
      <c r="D27" s="9" t="s">
        <v>46</v>
      </c>
      <c r="E27" s="9" t="s">
        <v>167</v>
      </c>
      <c r="F27" s="14" t="s">
        <v>168</v>
      </c>
      <c r="G27" s="9" t="s">
        <v>49</v>
      </c>
      <c r="H27" s="9">
        <v>4</v>
      </c>
      <c r="I27" s="9">
        <v>2</v>
      </c>
      <c r="J27" s="9">
        <v>1</v>
      </c>
      <c r="K27" s="10">
        <f t="shared" si="0"/>
        <v>8</v>
      </c>
      <c r="L27" s="10">
        <f t="shared" si="1"/>
        <v>4</v>
      </c>
      <c r="M27" s="10">
        <f t="shared" si="2"/>
        <v>8</v>
      </c>
      <c r="N27" s="10" t="str">
        <f t="shared" si="3"/>
        <v>Medium</v>
      </c>
      <c r="O27" s="9" t="s">
        <v>64</v>
      </c>
      <c r="P27" s="9" t="s">
        <v>65</v>
      </c>
      <c r="Q27" s="9" t="s">
        <v>46</v>
      </c>
      <c r="R27" s="15">
        <v>46164</v>
      </c>
      <c r="S27" s="14" t="s">
        <v>169</v>
      </c>
    </row>
    <row r="28" spans="1:19" ht="38.25" x14ac:dyDescent="0.25">
      <c r="A28" s="9" t="s">
        <v>170</v>
      </c>
      <c r="B28" s="9" t="s">
        <v>12</v>
      </c>
      <c r="C28" s="9" t="s">
        <v>171</v>
      </c>
      <c r="D28" s="9" t="s">
        <v>46</v>
      </c>
      <c r="E28" s="9" t="s">
        <v>62</v>
      </c>
      <c r="F28" s="14" t="s">
        <v>172</v>
      </c>
      <c r="G28" s="9" t="s">
        <v>49</v>
      </c>
      <c r="H28" s="9">
        <v>3</v>
      </c>
      <c r="I28" s="9">
        <v>1</v>
      </c>
      <c r="J28" s="9">
        <v>1</v>
      </c>
      <c r="K28" s="10">
        <f t="shared" si="0"/>
        <v>3</v>
      </c>
      <c r="L28" s="10">
        <f t="shared" si="1"/>
        <v>3</v>
      </c>
      <c r="M28" s="10">
        <f t="shared" si="2"/>
        <v>3</v>
      </c>
      <c r="N28" s="10" t="str">
        <f t="shared" si="3"/>
        <v>Low</v>
      </c>
      <c r="O28" s="9" t="s">
        <v>50</v>
      </c>
      <c r="P28" s="9" t="s">
        <v>51</v>
      </c>
      <c r="Q28" s="9" t="s">
        <v>66</v>
      </c>
      <c r="R28" s="15">
        <v>46164</v>
      </c>
      <c r="S28" s="14" t="s">
        <v>173</v>
      </c>
    </row>
    <row r="29" spans="1:19" ht="38.25" x14ac:dyDescent="0.25">
      <c r="A29" s="9" t="s">
        <v>174</v>
      </c>
      <c r="B29" s="9" t="s">
        <v>12</v>
      </c>
      <c r="C29" s="9" t="s">
        <v>175</v>
      </c>
      <c r="D29" s="9" t="s">
        <v>46</v>
      </c>
      <c r="E29" s="9" t="s">
        <v>167</v>
      </c>
      <c r="F29" s="14" t="s">
        <v>176</v>
      </c>
      <c r="G29" s="9" t="s">
        <v>49</v>
      </c>
      <c r="H29" s="9">
        <v>3</v>
      </c>
      <c r="I29" s="9">
        <v>5</v>
      </c>
      <c r="J29" s="9">
        <v>1</v>
      </c>
      <c r="K29" s="10">
        <f t="shared" si="0"/>
        <v>15</v>
      </c>
      <c r="L29" s="10">
        <f t="shared" si="1"/>
        <v>3</v>
      </c>
      <c r="M29" s="10">
        <f t="shared" si="2"/>
        <v>15</v>
      </c>
      <c r="N29" s="10" t="str">
        <f t="shared" si="3"/>
        <v>High</v>
      </c>
      <c r="O29" s="9" t="s">
        <v>64</v>
      </c>
      <c r="P29" s="9" t="s">
        <v>65</v>
      </c>
      <c r="Q29" s="9" t="s">
        <v>52</v>
      </c>
      <c r="R29" s="15"/>
      <c r="S29" s="14" t="s">
        <v>177</v>
      </c>
    </row>
    <row r="30" spans="1:19" ht="38.25" x14ac:dyDescent="0.25">
      <c r="A30" s="9" t="s">
        <v>178</v>
      </c>
      <c r="B30" s="9" t="s">
        <v>12</v>
      </c>
      <c r="C30" s="9" t="s">
        <v>179</v>
      </c>
      <c r="D30" s="9" t="s">
        <v>46</v>
      </c>
      <c r="E30" s="9" t="s">
        <v>84</v>
      </c>
      <c r="F30" s="14" t="s">
        <v>180</v>
      </c>
      <c r="G30" s="9" t="s">
        <v>49</v>
      </c>
      <c r="H30" s="9">
        <v>5</v>
      </c>
      <c r="I30" s="9">
        <v>2</v>
      </c>
      <c r="J30" s="9">
        <v>3</v>
      </c>
      <c r="K30" s="10">
        <f t="shared" si="0"/>
        <v>10</v>
      </c>
      <c r="L30" s="10">
        <f t="shared" si="1"/>
        <v>15</v>
      </c>
      <c r="M30" s="10">
        <f t="shared" si="2"/>
        <v>15</v>
      </c>
      <c r="N30" s="10" t="str">
        <f t="shared" si="3"/>
        <v>High</v>
      </c>
      <c r="O30" s="9" t="s">
        <v>58</v>
      </c>
      <c r="P30" s="9" t="s">
        <v>59</v>
      </c>
      <c r="Q30" s="9" t="s">
        <v>46</v>
      </c>
      <c r="R30" s="15">
        <v>46164</v>
      </c>
      <c r="S30" s="14" t="s">
        <v>181</v>
      </c>
    </row>
    <row r="31" spans="1:19" ht="38.25" x14ac:dyDescent="0.25">
      <c r="A31" s="9" t="s">
        <v>182</v>
      </c>
      <c r="B31" s="9" t="s">
        <v>12</v>
      </c>
      <c r="C31" s="9" t="s">
        <v>183</v>
      </c>
      <c r="D31" s="9" t="s">
        <v>46</v>
      </c>
      <c r="E31" s="9" t="s">
        <v>84</v>
      </c>
      <c r="F31" s="14" t="s">
        <v>184</v>
      </c>
      <c r="G31" s="9" t="s">
        <v>49</v>
      </c>
      <c r="H31" s="9">
        <v>4</v>
      </c>
      <c r="I31" s="9">
        <v>1</v>
      </c>
      <c r="J31" s="9">
        <v>1</v>
      </c>
      <c r="K31" s="10">
        <f t="shared" si="0"/>
        <v>4</v>
      </c>
      <c r="L31" s="10">
        <f t="shared" si="1"/>
        <v>4</v>
      </c>
      <c r="M31" s="10">
        <f t="shared" si="2"/>
        <v>4</v>
      </c>
      <c r="N31" s="10" t="str">
        <f t="shared" si="3"/>
        <v>Low</v>
      </c>
      <c r="O31" s="9" t="s">
        <v>64</v>
      </c>
      <c r="P31" s="9" t="s">
        <v>126</v>
      </c>
      <c r="Q31" s="9" t="s">
        <v>46</v>
      </c>
      <c r="R31" s="15">
        <v>46164</v>
      </c>
      <c r="S31" s="14" t="s">
        <v>185</v>
      </c>
    </row>
    <row r="32" spans="1:19" ht="38.25" x14ac:dyDescent="0.25">
      <c r="A32" s="9" t="s">
        <v>186</v>
      </c>
      <c r="B32" s="9" t="s">
        <v>12</v>
      </c>
      <c r="C32" s="9" t="s">
        <v>187</v>
      </c>
      <c r="D32" s="9" t="s">
        <v>46</v>
      </c>
      <c r="E32" s="9" t="s">
        <v>84</v>
      </c>
      <c r="F32" s="14" t="s">
        <v>188</v>
      </c>
      <c r="G32" s="9" t="s">
        <v>49</v>
      </c>
      <c r="H32" s="11">
        <v>1</v>
      </c>
      <c r="I32" s="11">
        <v>5</v>
      </c>
      <c r="J32" s="11">
        <v>5</v>
      </c>
      <c r="K32" s="12">
        <f t="shared" si="0"/>
        <v>5</v>
      </c>
      <c r="L32" s="12">
        <f t="shared" si="1"/>
        <v>5</v>
      </c>
      <c r="M32" s="12">
        <f t="shared" si="2"/>
        <v>5</v>
      </c>
      <c r="N32" s="12" t="str">
        <f t="shared" si="3"/>
        <v>Low</v>
      </c>
      <c r="O32" s="9" t="s">
        <v>64</v>
      </c>
      <c r="P32" s="9" t="s">
        <v>126</v>
      </c>
      <c r="Q32" s="9" t="s">
        <v>46</v>
      </c>
      <c r="R32" s="15">
        <v>46164</v>
      </c>
      <c r="S32" s="14" t="s">
        <v>189</v>
      </c>
    </row>
    <row r="33" spans="1:19" ht="38.25" x14ac:dyDescent="0.25">
      <c r="A33" s="9" t="s">
        <v>190</v>
      </c>
      <c r="B33" s="9" t="s">
        <v>12</v>
      </c>
      <c r="C33" s="9" t="s">
        <v>191</v>
      </c>
      <c r="D33" s="9" t="s">
        <v>46</v>
      </c>
      <c r="E33" s="9" t="s">
        <v>84</v>
      </c>
      <c r="F33" s="16" t="s">
        <v>247</v>
      </c>
      <c r="G33" s="9" t="s">
        <v>49</v>
      </c>
      <c r="H33" s="11">
        <v>1</v>
      </c>
      <c r="I33" s="11">
        <v>4</v>
      </c>
      <c r="J33" s="11">
        <v>4</v>
      </c>
      <c r="K33" s="12">
        <f t="shared" si="0"/>
        <v>4</v>
      </c>
      <c r="L33" s="12">
        <f t="shared" si="1"/>
        <v>4</v>
      </c>
      <c r="M33" s="12">
        <f t="shared" si="2"/>
        <v>4</v>
      </c>
      <c r="N33" s="12" t="str">
        <f t="shared" si="3"/>
        <v>Low</v>
      </c>
      <c r="O33" s="9" t="s">
        <v>64</v>
      </c>
      <c r="P33" s="9" t="s">
        <v>126</v>
      </c>
      <c r="Q33" s="9" t="s">
        <v>46</v>
      </c>
      <c r="R33" s="15">
        <v>46164</v>
      </c>
      <c r="S33" s="14" t="s">
        <v>192</v>
      </c>
    </row>
    <row r="34" spans="1:19" ht="38.25" x14ac:dyDescent="0.25">
      <c r="A34" s="9" t="s">
        <v>193</v>
      </c>
      <c r="B34" s="9" t="s">
        <v>12</v>
      </c>
      <c r="C34" s="9" t="s">
        <v>194</v>
      </c>
      <c r="D34" s="9" t="s">
        <v>46</v>
      </c>
      <c r="E34" s="9" t="s">
        <v>84</v>
      </c>
      <c r="F34" s="14" t="s">
        <v>195</v>
      </c>
      <c r="G34" s="9" t="s">
        <v>49</v>
      </c>
      <c r="H34" s="11">
        <v>1</v>
      </c>
      <c r="I34" s="11">
        <v>2</v>
      </c>
      <c r="J34" s="11">
        <v>2</v>
      </c>
      <c r="K34" s="12">
        <f t="shared" si="0"/>
        <v>2</v>
      </c>
      <c r="L34" s="12">
        <f t="shared" si="1"/>
        <v>2</v>
      </c>
      <c r="M34" s="12">
        <f t="shared" si="2"/>
        <v>2</v>
      </c>
      <c r="N34" s="12" t="str">
        <f t="shared" si="3"/>
        <v>Low</v>
      </c>
      <c r="O34" s="9" t="s">
        <v>64</v>
      </c>
      <c r="P34" s="9" t="s">
        <v>126</v>
      </c>
      <c r="Q34" s="9" t="s">
        <v>46</v>
      </c>
      <c r="R34" s="15">
        <v>46164</v>
      </c>
      <c r="S34" s="14" t="s">
        <v>196</v>
      </c>
    </row>
    <row r="35" spans="1:19" ht="38.25" x14ac:dyDescent="0.25">
      <c r="A35" s="9" t="s">
        <v>197</v>
      </c>
      <c r="B35" s="9" t="s">
        <v>12</v>
      </c>
      <c r="C35" s="9" t="s">
        <v>198</v>
      </c>
      <c r="D35" s="9" t="s">
        <v>46</v>
      </c>
      <c r="E35" s="9" t="s">
        <v>84</v>
      </c>
      <c r="F35" s="14" t="s">
        <v>199</v>
      </c>
      <c r="G35" s="9" t="s">
        <v>49</v>
      </c>
      <c r="H35" s="11">
        <v>2</v>
      </c>
      <c r="I35" s="11">
        <v>2</v>
      </c>
      <c r="J35" s="11">
        <v>3</v>
      </c>
      <c r="K35" s="12">
        <f t="shared" si="0"/>
        <v>4</v>
      </c>
      <c r="L35" s="12">
        <f t="shared" si="1"/>
        <v>6</v>
      </c>
      <c r="M35" s="12">
        <f t="shared" si="2"/>
        <v>6</v>
      </c>
      <c r="N35" s="12" t="str">
        <f t="shared" si="3"/>
        <v>Low</v>
      </c>
      <c r="O35" s="9" t="s">
        <v>64</v>
      </c>
      <c r="P35" s="9" t="s">
        <v>126</v>
      </c>
      <c r="Q35" s="9" t="s">
        <v>46</v>
      </c>
      <c r="R35" s="15">
        <v>46164</v>
      </c>
      <c r="S35" s="14" t="s">
        <v>200</v>
      </c>
    </row>
    <row r="36" spans="1:19" ht="25.5" x14ac:dyDescent="0.25">
      <c r="A36" s="9" t="s">
        <v>201</v>
      </c>
      <c r="B36" s="9" t="s">
        <v>12</v>
      </c>
      <c r="C36" s="9" t="s">
        <v>202</v>
      </c>
      <c r="D36" s="9" t="s">
        <v>46</v>
      </c>
      <c r="E36" s="9" t="s">
        <v>84</v>
      </c>
      <c r="F36" s="14" t="s">
        <v>203</v>
      </c>
      <c r="G36" s="9" t="s">
        <v>49</v>
      </c>
      <c r="H36" s="11">
        <v>2</v>
      </c>
      <c r="I36" s="11">
        <v>1</v>
      </c>
      <c r="J36" s="11">
        <v>1</v>
      </c>
      <c r="K36" s="12">
        <f t="shared" si="0"/>
        <v>2</v>
      </c>
      <c r="L36" s="12">
        <f t="shared" si="1"/>
        <v>2</v>
      </c>
      <c r="M36" s="12">
        <f t="shared" si="2"/>
        <v>2</v>
      </c>
      <c r="N36" s="12" t="str">
        <f t="shared" si="3"/>
        <v>Low</v>
      </c>
      <c r="O36" s="9" t="s">
        <v>58</v>
      </c>
      <c r="P36" s="9" t="s">
        <v>59</v>
      </c>
      <c r="Q36" s="9" t="s">
        <v>46</v>
      </c>
      <c r="R36" s="15">
        <v>46164</v>
      </c>
      <c r="S36" s="14" t="s">
        <v>204</v>
      </c>
    </row>
    <row r="37" spans="1:19" ht="38.25" x14ac:dyDescent="0.25">
      <c r="A37" s="9" t="s">
        <v>205</v>
      </c>
      <c r="B37" s="9" t="s">
        <v>12</v>
      </c>
      <c r="C37" s="9" t="s">
        <v>206</v>
      </c>
      <c r="D37" s="9" t="s">
        <v>46</v>
      </c>
      <c r="E37" s="9" t="s">
        <v>84</v>
      </c>
      <c r="F37" s="14" t="s">
        <v>207</v>
      </c>
      <c r="G37" s="9" t="s">
        <v>49</v>
      </c>
      <c r="H37" s="11">
        <v>2</v>
      </c>
      <c r="I37" s="11">
        <v>4</v>
      </c>
      <c r="J37" s="11">
        <v>2</v>
      </c>
      <c r="K37" s="12">
        <f t="shared" si="0"/>
        <v>8</v>
      </c>
      <c r="L37" s="12">
        <f t="shared" si="1"/>
        <v>4</v>
      </c>
      <c r="M37" s="12">
        <f t="shared" si="2"/>
        <v>8</v>
      </c>
      <c r="N37" s="12" t="str">
        <f t="shared" si="3"/>
        <v>Medium</v>
      </c>
      <c r="O37" s="9" t="s">
        <v>91</v>
      </c>
      <c r="P37" s="9" t="s">
        <v>151</v>
      </c>
      <c r="Q37" s="9" t="s">
        <v>46</v>
      </c>
      <c r="R37" s="15">
        <v>46164</v>
      </c>
      <c r="S37" s="14" t="s">
        <v>208</v>
      </c>
    </row>
    <row r="38" spans="1:19" ht="51" x14ac:dyDescent="0.25">
      <c r="A38" s="9" t="s">
        <v>209</v>
      </c>
      <c r="B38" s="9" t="s">
        <v>12</v>
      </c>
      <c r="C38" s="9" t="s">
        <v>210</v>
      </c>
      <c r="D38" s="9" t="s">
        <v>46</v>
      </c>
      <c r="E38" s="9" t="s">
        <v>84</v>
      </c>
      <c r="F38" s="16" t="s">
        <v>211</v>
      </c>
      <c r="G38" s="9" t="s">
        <v>49</v>
      </c>
      <c r="H38" s="11">
        <v>4</v>
      </c>
      <c r="I38" s="11">
        <v>3</v>
      </c>
      <c r="J38" s="11">
        <v>3</v>
      </c>
      <c r="K38" s="12">
        <f t="shared" si="0"/>
        <v>12</v>
      </c>
      <c r="L38" s="12">
        <f t="shared" si="1"/>
        <v>12</v>
      </c>
      <c r="M38" s="12">
        <f t="shared" si="2"/>
        <v>12</v>
      </c>
      <c r="N38" s="12" t="str">
        <f t="shared" si="3"/>
        <v>Medium</v>
      </c>
      <c r="O38" s="9" t="s">
        <v>64</v>
      </c>
      <c r="P38" s="9" t="s">
        <v>65</v>
      </c>
      <c r="Q38" s="9" t="s">
        <v>46</v>
      </c>
      <c r="R38" s="15">
        <v>46164</v>
      </c>
      <c r="S38" s="14" t="s">
        <v>212</v>
      </c>
    </row>
    <row r="39" spans="1:19" ht="15" customHeight="1" x14ac:dyDescent="0.25"/>
    <row r="40" spans="1:19" ht="15" customHeight="1" x14ac:dyDescent="0.25"/>
    <row r="41" spans="1:19" ht="15" customHeight="1" x14ac:dyDescent="0.25"/>
  </sheetData>
  <conditionalFormatting sqref="N1:N1048576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dataValidations count="1">
    <dataValidation type="whole" allowBlank="1" sqref="H2:J38" xr:uid="{00000000-0002-0000-0100-000000000000}">
      <formula1>1</formula1>
      <formula2>5</formula2>
    </dataValidation>
  </dataValidations>
  <pageMargins left="0.5" right="0" top="1" bottom="1" header="0.511811023622047" footer="0.511811023622047"/>
  <pageSetup paperSize="124" scale="62" fitToHeight="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1000000}">
          <x14:formula1>
            <xm:f>Lookups!$F$2:$F$8</xm:f>
          </x14:formula1>
          <x14:formula2>
            <xm:f>0</xm:f>
          </x14:formula2>
          <xm:sqref>E2:E38</xm:sqref>
        </x14:dataValidation>
        <x14:dataValidation type="list" allowBlank="1" xr:uid="{00000000-0002-0000-0100-000002000000}">
          <x14:formula1>
            <xm:f>Lookups!$G$2:$G$6</xm:f>
          </x14:formula1>
          <x14:formula2>
            <xm:f>0</xm:f>
          </x14:formula2>
          <xm:sqref>O2:O38</xm:sqref>
        </x14:dataValidation>
        <x14:dataValidation type="list" allowBlank="1" xr:uid="{00000000-0002-0000-0100-000003000000}">
          <x14:formula1>
            <xm:f>Lookups!$H$2:$H$5</xm:f>
          </x14:formula1>
          <x14:formula2>
            <xm:f>0</xm:f>
          </x14:formula2>
          <xm:sqref>D2:D38 Q2:Q38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Normal="100" workbookViewId="0">
      <pane ySplit="1" topLeftCell="A2" activePane="bottomLeft" state="frozen"/>
      <selection pane="bottomLeft" activeCell="A7" sqref="A7"/>
    </sheetView>
  </sheetViews>
  <sheetFormatPr defaultColWidth="8.7109375" defaultRowHeight="15" x14ac:dyDescent="0.25"/>
  <cols>
    <col min="1" max="1" width="18" customWidth="1"/>
    <col min="2" max="2" width="8" customWidth="1"/>
    <col min="3" max="3" width="14" customWidth="1"/>
    <col min="4" max="4" width="22" customWidth="1"/>
    <col min="5" max="5" width="3" customWidth="1"/>
    <col min="6" max="6" width="46" customWidth="1"/>
    <col min="7" max="7" width="18" customWidth="1"/>
    <col min="8" max="8" width="14" customWidth="1"/>
  </cols>
  <sheetData>
    <row r="1" spans="1:8" ht="31.5" customHeight="1" x14ac:dyDescent="0.25">
      <c r="A1" s="1" t="s">
        <v>213</v>
      </c>
      <c r="B1" s="1" t="s">
        <v>214</v>
      </c>
      <c r="C1" s="1" t="s">
        <v>215</v>
      </c>
      <c r="D1" s="1" t="s">
        <v>216</v>
      </c>
      <c r="E1" s="1"/>
      <c r="F1" s="1" t="s">
        <v>217</v>
      </c>
      <c r="G1" s="1" t="s">
        <v>218</v>
      </c>
      <c r="H1" s="1" t="s">
        <v>219</v>
      </c>
    </row>
    <row r="2" spans="1:8" ht="15" customHeight="1" x14ac:dyDescent="0.25">
      <c r="A2" s="13" t="s">
        <v>220</v>
      </c>
      <c r="B2" s="13">
        <v>1</v>
      </c>
      <c r="C2" s="13" t="s">
        <v>221</v>
      </c>
      <c r="D2" s="13" t="s">
        <v>222</v>
      </c>
      <c r="E2" s="13"/>
      <c r="F2" s="13" t="s">
        <v>84</v>
      </c>
      <c r="G2" s="13" t="s">
        <v>58</v>
      </c>
      <c r="H2" s="13" t="s">
        <v>46</v>
      </c>
    </row>
    <row r="3" spans="1:8" ht="15" customHeight="1" x14ac:dyDescent="0.25">
      <c r="A3" s="13" t="s">
        <v>220</v>
      </c>
      <c r="B3" s="13">
        <v>2</v>
      </c>
      <c r="C3" s="13" t="s">
        <v>223</v>
      </c>
      <c r="D3" s="13" t="s">
        <v>224</v>
      </c>
      <c r="E3" s="13"/>
      <c r="F3" s="13" t="s">
        <v>47</v>
      </c>
      <c r="G3" s="13" t="s">
        <v>64</v>
      </c>
      <c r="H3" s="13" t="s">
        <v>52</v>
      </c>
    </row>
    <row r="4" spans="1:8" ht="15" customHeight="1" x14ac:dyDescent="0.25">
      <c r="A4" s="13" t="s">
        <v>220</v>
      </c>
      <c r="B4" s="13">
        <v>3</v>
      </c>
      <c r="C4" s="13" t="s">
        <v>225</v>
      </c>
      <c r="D4" s="13" t="s">
        <v>226</v>
      </c>
      <c r="E4" s="13"/>
      <c r="F4" s="13" t="s">
        <v>89</v>
      </c>
      <c r="G4" s="13" t="s">
        <v>50</v>
      </c>
      <c r="H4" s="13" t="s">
        <v>66</v>
      </c>
    </row>
    <row r="5" spans="1:8" ht="15" customHeight="1" x14ac:dyDescent="0.25">
      <c r="A5" s="13" t="s">
        <v>220</v>
      </c>
      <c r="B5" s="13">
        <v>4</v>
      </c>
      <c r="C5" s="13" t="s">
        <v>227</v>
      </c>
      <c r="D5" s="13" t="s">
        <v>228</v>
      </c>
      <c r="E5" s="13"/>
      <c r="F5" s="13" t="s">
        <v>62</v>
      </c>
      <c r="G5" s="13" t="s">
        <v>75</v>
      </c>
      <c r="H5" s="13" t="s">
        <v>76</v>
      </c>
    </row>
    <row r="6" spans="1:8" ht="15" customHeight="1" x14ac:dyDescent="0.25">
      <c r="A6" s="13" t="s">
        <v>220</v>
      </c>
      <c r="B6" s="13">
        <v>5</v>
      </c>
      <c r="C6" s="13" t="s">
        <v>229</v>
      </c>
      <c r="D6" s="13" t="s">
        <v>230</v>
      </c>
      <c r="E6" s="13"/>
      <c r="F6" s="13" t="s">
        <v>56</v>
      </c>
      <c r="G6" s="13" t="s">
        <v>91</v>
      </c>
      <c r="H6" s="13"/>
    </row>
    <row r="7" spans="1:8" ht="15" customHeight="1" x14ac:dyDescent="0.25">
      <c r="A7" s="13" t="s">
        <v>231</v>
      </c>
      <c r="B7" s="13">
        <v>1</v>
      </c>
      <c r="C7" s="13" t="s">
        <v>221</v>
      </c>
      <c r="D7" s="13" t="s">
        <v>232</v>
      </c>
      <c r="E7" s="13"/>
      <c r="F7" s="13" t="s">
        <v>104</v>
      </c>
      <c r="G7" s="13"/>
      <c r="H7" s="13"/>
    </row>
    <row r="8" spans="1:8" ht="15" customHeight="1" x14ac:dyDescent="0.25">
      <c r="A8" s="13" t="s">
        <v>231</v>
      </c>
      <c r="B8" s="13">
        <v>2</v>
      </c>
      <c r="C8" s="13" t="s">
        <v>223</v>
      </c>
      <c r="D8" s="13" t="s">
        <v>233</v>
      </c>
      <c r="E8" s="13"/>
      <c r="F8" s="13" t="s">
        <v>167</v>
      </c>
      <c r="G8" s="13"/>
      <c r="H8" s="13"/>
    </row>
    <row r="9" spans="1:8" ht="15" customHeight="1" x14ac:dyDescent="0.25">
      <c r="A9" s="13" t="s">
        <v>231</v>
      </c>
      <c r="B9" s="13">
        <v>3</v>
      </c>
      <c r="C9" s="13" t="s">
        <v>225</v>
      </c>
      <c r="D9" s="13" t="s">
        <v>234</v>
      </c>
      <c r="E9" s="13"/>
      <c r="F9" s="13"/>
      <c r="G9" s="13"/>
      <c r="H9" s="13"/>
    </row>
    <row r="10" spans="1:8" ht="15" customHeight="1" x14ac:dyDescent="0.25">
      <c r="A10" s="13" t="s">
        <v>231</v>
      </c>
      <c r="B10" s="13">
        <v>4</v>
      </c>
      <c r="C10" s="13" t="s">
        <v>227</v>
      </c>
      <c r="D10" s="13" t="s">
        <v>235</v>
      </c>
      <c r="E10" s="13"/>
      <c r="F10" s="13"/>
      <c r="G10" s="13"/>
      <c r="H10" s="13"/>
    </row>
    <row r="11" spans="1:8" ht="15" customHeight="1" x14ac:dyDescent="0.25">
      <c r="A11" s="13" t="s">
        <v>231</v>
      </c>
      <c r="B11" s="13">
        <v>5</v>
      </c>
      <c r="C11" s="13" t="s">
        <v>229</v>
      </c>
      <c r="D11" s="13" t="s">
        <v>236</v>
      </c>
      <c r="E11" s="13"/>
      <c r="F11" s="13"/>
      <c r="G11" s="13"/>
      <c r="H11" s="13"/>
    </row>
    <row r="12" spans="1:8" ht="15" customHeight="1" x14ac:dyDescent="0.25">
      <c r="A12" s="13" t="s">
        <v>237</v>
      </c>
      <c r="B12" s="13">
        <v>1</v>
      </c>
      <c r="C12" s="13" t="s">
        <v>221</v>
      </c>
      <c r="D12" s="13" t="s">
        <v>238</v>
      </c>
      <c r="E12" s="13"/>
      <c r="F12" s="13"/>
      <c r="G12" s="13"/>
      <c r="H12" s="13"/>
    </row>
    <row r="13" spans="1:8" ht="15" customHeight="1" x14ac:dyDescent="0.25">
      <c r="A13" s="13" t="s">
        <v>237</v>
      </c>
      <c r="B13" s="13">
        <v>2</v>
      </c>
      <c r="C13" s="13" t="s">
        <v>223</v>
      </c>
      <c r="D13" s="13" t="s">
        <v>239</v>
      </c>
      <c r="E13" s="13"/>
      <c r="F13" s="13"/>
      <c r="G13" s="13"/>
      <c r="H13" s="13"/>
    </row>
    <row r="14" spans="1:8" ht="15" customHeight="1" x14ac:dyDescent="0.25">
      <c r="A14" s="13" t="s">
        <v>237</v>
      </c>
      <c r="B14" s="13">
        <v>3</v>
      </c>
      <c r="C14" s="13" t="s">
        <v>225</v>
      </c>
      <c r="D14" s="13" t="s">
        <v>240</v>
      </c>
      <c r="E14" s="13"/>
      <c r="F14" s="13"/>
      <c r="G14" s="13"/>
      <c r="H14" s="13"/>
    </row>
    <row r="15" spans="1:8" ht="15" customHeight="1" x14ac:dyDescent="0.25">
      <c r="A15" s="13" t="s">
        <v>237</v>
      </c>
      <c r="B15" s="13">
        <v>4</v>
      </c>
      <c r="C15" s="13" t="s">
        <v>227</v>
      </c>
      <c r="D15" s="13" t="s">
        <v>241</v>
      </c>
      <c r="E15" s="13"/>
      <c r="F15" s="13"/>
      <c r="G15" s="13"/>
      <c r="H15" s="13"/>
    </row>
    <row r="16" spans="1:8" ht="15" customHeight="1" x14ac:dyDescent="0.25">
      <c r="A16" s="13" t="s">
        <v>237</v>
      </c>
      <c r="B16" s="13">
        <v>5</v>
      </c>
      <c r="C16" s="13" t="s">
        <v>229</v>
      </c>
      <c r="D16" s="13" t="s">
        <v>242</v>
      </c>
      <c r="E16" s="13"/>
      <c r="F16" s="13"/>
      <c r="G16" s="13"/>
      <c r="H16" s="13"/>
    </row>
    <row r="17" spans="1:8" ht="15" customHeight="1" x14ac:dyDescent="0.25">
      <c r="A17" s="13" t="s">
        <v>243</v>
      </c>
      <c r="B17" s="13" t="s">
        <v>227</v>
      </c>
      <c r="C17" s="13" t="s">
        <v>227</v>
      </c>
      <c r="D17" s="13" t="s">
        <v>244</v>
      </c>
      <c r="E17" s="13"/>
      <c r="F17" s="13"/>
      <c r="G17" s="13"/>
      <c r="H17" s="13"/>
    </row>
    <row r="18" spans="1:8" ht="15" customHeight="1" x14ac:dyDescent="0.25">
      <c r="A18" s="13" t="s">
        <v>243</v>
      </c>
      <c r="B18" s="13" t="s">
        <v>225</v>
      </c>
      <c r="C18" s="13" t="s">
        <v>225</v>
      </c>
      <c r="D18" s="13" t="s">
        <v>245</v>
      </c>
      <c r="E18" s="13"/>
      <c r="F18" s="13"/>
      <c r="G18" s="13"/>
      <c r="H18" s="13"/>
    </row>
    <row r="19" spans="1:8" ht="15" customHeight="1" x14ac:dyDescent="0.25">
      <c r="A19" s="13" t="s">
        <v>243</v>
      </c>
      <c r="B19" s="13" t="s">
        <v>223</v>
      </c>
      <c r="C19" s="13" t="s">
        <v>223</v>
      </c>
      <c r="D19" s="13" t="s">
        <v>246</v>
      </c>
      <c r="E19" s="13"/>
      <c r="F19" s="13"/>
      <c r="G19" s="13"/>
      <c r="H19" s="13"/>
    </row>
    <row r="20" spans="1:8" ht="15" customHeight="1" x14ac:dyDescent="0.25">
      <c r="E20" s="13"/>
      <c r="F20" s="13"/>
      <c r="G20" s="13"/>
      <c r="H20" s="13"/>
    </row>
    <row r="21" spans="1:8" ht="15" customHeight="1" x14ac:dyDescent="0.25">
      <c r="E21" s="13"/>
      <c r="F21" s="13"/>
      <c r="G21" s="13"/>
      <c r="H21" s="1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</vt:lpstr>
      <vt:lpstr>Risk_Register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Justin Hwang</cp:lastModifiedBy>
  <cp:revision>0</cp:revision>
  <cp:lastPrinted>2026-05-20T03:06:20Z</cp:lastPrinted>
  <dcterms:created xsi:type="dcterms:W3CDTF">2026-05-19T16:47:01Z</dcterms:created>
  <dcterms:modified xsi:type="dcterms:W3CDTF">2026-05-24T01:10:16Z</dcterms:modified>
  <dc:language>en-US</dc:language>
</cp:coreProperties>
</file>